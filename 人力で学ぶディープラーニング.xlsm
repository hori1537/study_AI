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310202\Desktop\20180921\horie\data_science\実習会\第５回\"/>
    </mc:Choice>
  </mc:AlternateContent>
  <xr:revisionPtr revIDLastSave="0" documentId="13_ncr:1_{B5988A8E-0EDC-40CC-BF12-00776A30E88A}" xr6:coauthVersionLast="36" xr6:coauthVersionMax="36" xr10:uidLastSave="{00000000-0000-0000-0000-000000000000}"/>
  <bookViews>
    <workbookView xWindow="0" yWindow="0" windowWidth="20490" windowHeight="8325" activeTab="3" xr2:uid="{0C45A1F5-2C3B-43B5-B542-4A7883258CB5}"/>
  </bookViews>
  <sheets>
    <sheet name="フィルター" sheetId="2" r:id="rId1"/>
    <sheet name="人力ディープラーニング" sheetId="7" r:id="rId2"/>
    <sheet name="解答チェック" sheetId="6" r:id="rId3"/>
    <sheet name="解答例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4" i="8" l="1"/>
  <c r="L14" i="8"/>
  <c r="K14" i="8"/>
  <c r="M13" i="8"/>
  <c r="L13" i="8"/>
  <c r="K13" i="8"/>
  <c r="M12" i="8"/>
  <c r="L12" i="8"/>
  <c r="K12" i="8"/>
  <c r="M7" i="8"/>
  <c r="L7" i="8"/>
  <c r="K7" i="8"/>
  <c r="M6" i="8"/>
  <c r="L6" i="8"/>
  <c r="K6" i="8"/>
  <c r="M5" i="8"/>
  <c r="L5" i="8"/>
  <c r="K5" i="8"/>
  <c r="W7" i="8" l="1"/>
  <c r="W11" i="8"/>
  <c r="W15" i="8"/>
  <c r="Y13" i="8"/>
  <c r="W3" i="8"/>
  <c r="Y5" i="8"/>
  <c r="Z5" i="8" s="1"/>
  <c r="M14" i="6"/>
  <c r="L14" i="6"/>
  <c r="K14" i="6"/>
  <c r="M13" i="6"/>
  <c r="L13" i="6"/>
  <c r="K13" i="6"/>
  <c r="M12" i="6"/>
  <c r="L12" i="6"/>
  <c r="K12" i="6"/>
  <c r="M7" i="6"/>
  <c r="L7" i="6"/>
  <c r="K7" i="6"/>
  <c r="M6" i="6"/>
  <c r="L6" i="6"/>
  <c r="K6" i="6"/>
  <c r="M5" i="6"/>
  <c r="L5" i="6"/>
  <c r="K5" i="6"/>
  <c r="Z13" i="8" l="1"/>
  <c r="K13" i="7"/>
  <c r="K14" i="7"/>
  <c r="L14" i="7"/>
  <c r="K12" i="7"/>
  <c r="L13" i="7"/>
  <c r="M14" i="7"/>
  <c r="L12" i="7"/>
  <c r="M13" i="7"/>
  <c r="M12" i="7"/>
  <c r="M7" i="7"/>
  <c r="K6" i="7"/>
  <c r="L7" i="7"/>
  <c r="L5" i="7"/>
  <c r="M6" i="7"/>
  <c r="M5" i="7"/>
  <c r="K7" i="7"/>
  <c r="K5" i="7"/>
  <c r="L6" i="7"/>
  <c r="W11" i="6"/>
  <c r="W15" i="6"/>
  <c r="W3" i="6"/>
  <c r="Y5" i="6"/>
  <c r="W7" i="6"/>
  <c r="Y13" i="6"/>
  <c r="W7" i="7" l="1"/>
  <c r="W15" i="7"/>
  <c r="W11" i="7"/>
  <c r="Y13" i="7"/>
  <c r="Y5" i="7"/>
  <c r="W3" i="7"/>
  <c r="Z13" i="6"/>
  <c r="Z5" i="6"/>
  <c r="N3" i="2"/>
  <c r="Z13" i="7" l="1"/>
  <c r="Z5" i="7"/>
  <c r="M5" i="2"/>
  <c r="O4" i="2"/>
  <c r="O5" i="2"/>
  <c r="N4" i="2"/>
  <c r="N5" i="2"/>
  <c r="M3" i="2"/>
  <c r="M4" i="2"/>
  <c r="O3" i="2"/>
</calcChain>
</file>

<file path=xl/sharedStrings.xml><?xml version="1.0" encoding="utf-8"?>
<sst xmlns="http://schemas.openxmlformats.org/spreadsheetml/2006/main" count="91" uniqueCount="27">
  <si>
    <t>元画像</t>
    <rPh sb="0" eb="1">
      <t>モト</t>
    </rPh>
    <rPh sb="1" eb="3">
      <t>ガゾウ</t>
    </rPh>
    <phoneticPr fontId="1"/>
  </si>
  <si>
    <t>元画像A</t>
    <rPh sb="0" eb="1">
      <t>モト</t>
    </rPh>
    <rPh sb="1" eb="3">
      <t>ガゾウ</t>
    </rPh>
    <phoneticPr fontId="1"/>
  </si>
  <si>
    <t>元画像B</t>
    <rPh sb="0" eb="1">
      <t>モト</t>
    </rPh>
    <rPh sb="1" eb="3">
      <t>ガゾウ</t>
    </rPh>
    <phoneticPr fontId="1"/>
  </si>
  <si>
    <t>フィルタ</t>
    <phoneticPr fontId="1"/>
  </si>
  <si>
    <t>〇の可能性</t>
    <rPh sb="2" eb="5">
      <t>カノウセイ</t>
    </rPh>
    <phoneticPr fontId="1"/>
  </si>
  <si>
    <t>×の可能性</t>
    <rPh sb="2" eb="5">
      <t>カノウセイ</t>
    </rPh>
    <phoneticPr fontId="1"/>
  </si>
  <si>
    <t>特徴マップ</t>
    <rPh sb="0" eb="2">
      <t>トクチョウ</t>
    </rPh>
    <phoneticPr fontId="1"/>
  </si>
  <si>
    <t>（元画像＊フィルター）</t>
    <rPh sb="1" eb="2">
      <t>モト</t>
    </rPh>
    <rPh sb="2" eb="4">
      <t>ガゾウ</t>
    </rPh>
    <phoneticPr fontId="1"/>
  </si>
  <si>
    <t>元画像C</t>
    <rPh sb="0" eb="1">
      <t>モト</t>
    </rPh>
    <rPh sb="1" eb="3">
      <t>ガゾウ</t>
    </rPh>
    <phoneticPr fontId="1"/>
  </si>
  <si>
    <t>元画像D</t>
    <rPh sb="0" eb="1">
      <t>モト</t>
    </rPh>
    <rPh sb="1" eb="3">
      <t>ガゾウ</t>
    </rPh>
    <phoneticPr fontId="1"/>
  </si>
  <si>
    <t>全結合層　〇かどうか</t>
    <rPh sb="0" eb="1">
      <t>ゼン</t>
    </rPh>
    <rPh sb="1" eb="3">
      <t>ケツゴウ</t>
    </rPh>
    <rPh sb="3" eb="4">
      <t>ソウ</t>
    </rPh>
    <phoneticPr fontId="1"/>
  </si>
  <si>
    <t>全結合層　×かどうか</t>
    <rPh sb="0" eb="1">
      <t>ゼン</t>
    </rPh>
    <rPh sb="1" eb="3">
      <t>ケツゴウ</t>
    </rPh>
    <rPh sb="3" eb="4">
      <t>ソウ</t>
    </rPh>
    <phoneticPr fontId="1"/>
  </si>
  <si>
    <t>元画像</t>
    <rPh sb="0" eb="1">
      <t>モト</t>
    </rPh>
    <rPh sb="1" eb="3">
      <t>ガゾウ</t>
    </rPh>
    <phoneticPr fontId="1"/>
  </si>
  <si>
    <t>フィルタ</t>
    <phoneticPr fontId="1"/>
  </si>
  <si>
    <t>特徴マップ</t>
    <rPh sb="0" eb="2">
      <t>トクチョウ</t>
    </rPh>
    <phoneticPr fontId="1"/>
  </si>
  <si>
    <t>元画像A</t>
    <rPh sb="0" eb="1">
      <t>モト</t>
    </rPh>
    <rPh sb="1" eb="3">
      <t>ガゾウ</t>
    </rPh>
    <phoneticPr fontId="1"/>
  </si>
  <si>
    <t>元画像B</t>
    <rPh sb="0" eb="1">
      <t>モト</t>
    </rPh>
    <rPh sb="1" eb="3">
      <t>ガゾウ</t>
    </rPh>
    <phoneticPr fontId="1"/>
  </si>
  <si>
    <t>元画像C</t>
    <rPh sb="0" eb="1">
      <t>モト</t>
    </rPh>
    <rPh sb="1" eb="3">
      <t>ガゾウ</t>
    </rPh>
    <phoneticPr fontId="1"/>
  </si>
  <si>
    <t>元画像D</t>
    <rPh sb="0" eb="1">
      <t>モト</t>
    </rPh>
    <rPh sb="1" eb="3">
      <t>ガゾウ</t>
    </rPh>
    <phoneticPr fontId="1"/>
  </si>
  <si>
    <t>正解</t>
    <phoneticPr fontId="1"/>
  </si>
  <si>
    <t>不正解</t>
    <phoneticPr fontId="1"/>
  </si>
  <si>
    <t>元画像E</t>
    <rPh sb="0" eb="1">
      <t>モト</t>
    </rPh>
    <rPh sb="1" eb="3">
      <t>ガゾウ</t>
    </rPh>
    <phoneticPr fontId="1"/>
  </si>
  <si>
    <t>元画像E</t>
    <rPh sb="0" eb="1">
      <t>モト</t>
    </rPh>
    <rPh sb="1" eb="3">
      <t>ガゾウ</t>
    </rPh>
    <phoneticPr fontId="1"/>
  </si>
  <si>
    <t>元画像F</t>
    <rPh sb="0" eb="1">
      <t>モト</t>
    </rPh>
    <rPh sb="1" eb="3">
      <t>ガゾウ</t>
    </rPh>
    <phoneticPr fontId="1"/>
  </si>
  <si>
    <t>予</t>
    <rPh sb="0" eb="1">
      <t>ヨ</t>
    </rPh>
    <phoneticPr fontId="1"/>
  </si>
  <si>
    <t>実</t>
    <rPh sb="0" eb="1">
      <t>ミ</t>
    </rPh>
    <phoneticPr fontId="1"/>
  </si>
  <si>
    <t>=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</si>
</sst>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2060"/>
      </left>
      <right style="thin">
        <color indexed="64"/>
      </right>
      <top style="medium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2060"/>
      </top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medium">
        <color rgb="FF002060"/>
      </top>
      <bottom style="thin">
        <color indexed="64"/>
      </bottom>
      <diagonal/>
    </border>
    <border>
      <left style="medium">
        <color rgb="FF00206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>
      <left style="medium">
        <color rgb="FF002060"/>
      </left>
      <right style="thin">
        <color indexed="64"/>
      </right>
      <top style="thin">
        <color indexed="64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2060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medium">
        <color rgb="FF002060"/>
      </bottom>
      <diagonal/>
    </border>
    <border>
      <left style="medium">
        <color rgb="FF00B050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medium">
        <color rgb="FF00B050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medium">
        <color rgb="FF00B050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176" fontId="2" fillId="0" borderId="1" xfId="0" applyNumberFormat="1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1" xfId="0" applyFont="1" applyBorder="1" applyProtection="1">
      <alignment vertical="center"/>
      <protection locked="0"/>
    </xf>
    <xf numFmtId="0" fontId="0" fillId="0" borderId="0" xfId="0" applyAlignment="1" applyProtection="1">
      <alignment horizontal="centerContinuous" vertical="center"/>
      <protection locked="0"/>
    </xf>
    <xf numFmtId="0" fontId="2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Alignment="1" applyProtection="1">
      <alignment horizontal="centerContinuous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3" borderId="1" xfId="0" applyFill="1" applyBorder="1" applyProtection="1">
      <alignment vertical="center"/>
      <protection locked="0"/>
    </xf>
    <xf numFmtId="0" fontId="2" fillId="0" borderId="0" xfId="0" applyFont="1" applyBorder="1" applyProtection="1">
      <alignment vertical="center"/>
      <protection locked="0"/>
    </xf>
    <xf numFmtId="176" fontId="2" fillId="0" borderId="0" xfId="0" applyNumberFormat="1" applyFont="1" applyBorder="1" applyProtection="1">
      <alignment vertical="center"/>
      <protection locked="0"/>
    </xf>
    <xf numFmtId="0" fontId="2" fillId="0" borderId="0" xfId="0" applyFont="1" applyFill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176" fontId="2" fillId="0" borderId="2" xfId="0" applyNumberFormat="1" applyFont="1" applyBorder="1" applyProtection="1">
      <alignment vertical="center"/>
    </xf>
    <xf numFmtId="176" fontId="2" fillId="0" borderId="3" xfId="0" applyNumberFormat="1" applyFont="1" applyBorder="1" applyProtection="1">
      <alignment vertical="center"/>
    </xf>
    <xf numFmtId="176" fontId="2" fillId="0" borderId="4" xfId="0" applyNumberFormat="1" applyFont="1" applyBorder="1" applyProtection="1">
      <alignment vertical="center"/>
    </xf>
    <xf numFmtId="176" fontId="2" fillId="0" borderId="5" xfId="0" applyNumberFormat="1" applyFont="1" applyBorder="1" applyProtection="1">
      <alignment vertical="center"/>
    </xf>
    <xf numFmtId="176" fontId="2" fillId="0" borderId="1" xfId="0" applyNumberFormat="1" applyFont="1" applyBorder="1" applyProtection="1">
      <alignment vertical="center"/>
    </xf>
    <xf numFmtId="176" fontId="2" fillId="0" borderId="6" xfId="0" applyNumberFormat="1" applyFont="1" applyBorder="1" applyProtection="1">
      <alignment vertical="center"/>
    </xf>
    <xf numFmtId="176" fontId="2" fillId="0" borderId="7" xfId="0" applyNumberFormat="1" applyFont="1" applyBorder="1" applyProtection="1">
      <alignment vertical="center"/>
    </xf>
    <xf numFmtId="176" fontId="2" fillId="0" borderId="8" xfId="0" applyNumberFormat="1" applyFont="1" applyBorder="1" applyProtection="1">
      <alignment vertical="center"/>
    </xf>
    <xf numFmtId="176" fontId="2" fillId="0" borderId="9" xfId="0" applyNumberFormat="1" applyFont="1" applyBorder="1" applyProtection="1">
      <alignment vertical="center"/>
    </xf>
    <xf numFmtId="176" fontId="2" fillId="0" borderId="10" xfId="0" applyNumberFormat="1" applyFont="1" applyBorder="1" applyProtection="1">
      <alignment vertical="center"/>
    </xf>
    <xf numFmtId="176" fontId="2" fillId="0" borderId="11" xfId="0" applyNumberFormat="1" applyFont="1" applyBorder="1" applyProtection="1">
      <alignment vertical="center"/>
    </xf>
    <xf numFmtId="176" fontId="2" fillId="0" borderId="12" xfId="0" applyNumberFormat="1" applyFont="1" applyBorder="1" applyProtection="1">
      <alignment vertical="center"/>
    </xf>
    <xf numFmtId="176" fontId="2" fillId="0" borderId="13" xfId="0" applyNumberFormat="1" applyFont="1" applyBorder="1" applyProtection="1">
      <alignment vertical="center"/>
    </xf>
    <xf numFmtId="176" fontId="2" fillId="0" borderId="14" xfId="0" applyNumberFormat="1" applyFont="1" applyBorder="1" applyProtection="1">
      <alignment vertical="center"/>
    </xf>
    <xf numFmtId="176" fontId="2" fillId="0" borderId="15" xfId="0" applyNumberFormat="1" applyFont="1" applyBorder="1" applyProtection="1">
      <alignment vertical="center"/>
    </xf>
    <xf numFmtId="176" fontId="2" fillId="0" borderId="16" xfId="0" applyNumberFormat="1" applyFont="1" applyBorder="1" applyProtection="1">
      <alignment vertical="center"/>
    </xf>
    <xf numFmtId="176" fontId="2" fillId="0" borderId="17" xfId="0" applyNumberFormat="1" applyFont="1" applyBorder="1" applyProtection="1">
      <alignment vertical="center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3" borderId="1" xfId="0" applyFill="1" applyBorder="1" applyProtection="1">
      <alignment vertical="center"/>
    </xf>
    <xf numFmtId="0" fontId="2" fillId="0" borderId="0" xfId="0" applyFont="1" applyFill="1" applyProtection="1">
      <alignment vertical="center"/>
    </xf>
    <xf numFmtId="0" fontId="0" fillId="2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9" fontId="0" fillId="0" borderId="0" xfId="0" applyNumberFormat="1" applyAlignment="1" applyProtection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66351</xdr:colOff>
      <xdr:row>5</xdr:row>
      <xdr:rowOff>10026</xdr:rowOff>
    </xdr:from>
    <xdr:to>
      <xdr:col>9</xdr:col>
      <xdr:colOff>165434</xdr:colOff>
      <xdr:row>5</xdr:row>
      <xdr:rowOff>219338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95201" y="1210176"/>
          <a:ext cx="99083" cy="209312"/>
        </a:xfrm>
        <a:prstGeom prst="rightArrow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78383</xdr:colOff>
      <xdr:row>12</xdr:row>
      <xdr:rowOff>22057</xdr:rowOff>
    </xdr:from>
    <xdr:to>
      <xdr:col>9</xdr:col>
      <xdr:colOff>177466</xdr:colOff>
      <xdr:row>12</xdr:row>
      <xdr:rowOff>231369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307233" y="2908132"/>
          <a:ext cx="99083" cy="209312"/>
        </a:xfrm>
        <a:prstGeom prst="rightArrow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2</xdr:row>
      <xdr:rowOff>139977</xdr:rowOff>
    </xdr:from>
    <xdr:to>
      <xdr:col>17</xdr:col>
      <xdr:colOff>19880</xdr:colOff>
      <xdr:row>5</xdr:row>
      <xdr:rowOff>120098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3219450" y="616227"/>
          <a:ext cx="1010480" cy="704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241852</xdr:colOff>
      <xdr:row>6</xdr:row>
      <xdr:rowOff>125068</xdr:rowOff>
    </xdr:from>
    <xdr:to>
      <xdr:col>16</xdr:col>
      <xdr:colOff>245166</xdr:colOff>
      <xdr:row>12</xdr:row>
      <xdr:rowOff>113472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V="1">
          <a:off x="3213652" y="1563343"/>
          <a:ext cx="993914" cy="14362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5</xdr:row>
      <xdr:rowOff>120098</xdr:rowOff>
    </xdr:from>
    <xdr:to>
      <xdr:col>16</xdr:col>
      <xdr:colOff>238540</xdr:colOff>
      <xdr:row>10</xdr:row>
      <xdr:rowOff>135006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3219450" y="1320248"/>
          <a:ext cx="981490" cy="12150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241852</xdr:colOff>
      <xdr:row>12</xdr:row>
      <xdr:rowOff>113472</xdr:rowOff>
    </xdr:from>
    <xdr:to>
      <xdr:col>17</xdr:col>
      <xdr:colOff>1</xdr:colOff>
      <xdr:row>14</xdr:row>
      <xdr:rowOff>136664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3213652" y="2999547"/>
          <a:ext cx="996399" cy="5089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133350</xdr:rowOff>
        </xdr:from>
        <xdr:to>
          <xdr:col>6</xdr:col>
          <xdr:colOff>152400</xdr:colOff>
          <xdr:row>10</xdr:row>
          <xdr:rowOff>152400</xdr:rowOff>
        </xdr:to>
        <xdr:sp macro="" textlink="">
          <xdr:nvSpPr>
            <xdr:cNvPr id="5121" name="Spin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2</xdr:row>
          <xdr:rowOff>161925</xdr:rowOff>
        </xdr:from>
        <xdr:to>
          <xdr:col>32</xdr:col>
          <xdr:colOff>85725</xdr:colOff>
          <xdr:row>3</xdr:row>
          <xdr:rowOff>228600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66351</xdr:colOff>
      <xdr:row>5</xdr:row>
      <xdr:rowOff>10026</xdr:rowOff>
    </xdr:from>
    <xdr:to>
      <xdr:col>9</xdr:col>
      <xdr:colOff>165434</xdr:colOff>
      <xdr:row>5</xdr:row>
      <xdr:rowOff>219338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95201" y="1210176"/>
          <a:ext cx="99083" cy="209312"/>
        </a:xfrm>
        <a:prstGeom prst="rightArrow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78383</xdr:colOff>
      <xdr:row>12</xdr:row>
      <xdr:rowOff>22057</xdr:rowOff>
    </xdr:from>
    <xdr:to>
      <xdr:col>9</xdr:col>
      <xdr:colOff>177466</xdr:colOff>
      <xdr:row>12</xdr:row>
      <xdr:rowOff>231369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307233" y="2908132"/>
          <a:ext cx="99083" cy="209312"/>
        </a:xfrm>
        <a:prstGeom prst="rightArrow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2</xdr:row>
      <xdr:rowOff>139977</xdr:rowOff>
    </xdr:from>
    <xdr:to>
      <xdr:col>17</xdr:col>
      <xdr:colOff>19880</xdr:colOff>
      <xdr:row>5</xdr:row>
      <xdr:rowOff>120098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3219450" y="616227"/>
          <a:ext cx="1010480" cy="704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241852</xdr:colOff>
      <xdr:row>6</xdr:row>
      <xdr:rowOff>125068</xdr:rowOff>
    </xdr:from>
    <xdr:to>
      <xdr:col>16</xdr:col>
      <xdr:colOff>245166</xdr:colOff>
      <xdr:row>12</xdr:row>
      <xdr:rowOff>113472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3213652" y="1563343"/>
          <a:ext cx="993914" cy="14362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5</xdr:row>
      <xdr:rowOff>120098</xdr:rowOff>
    </xdr:from>
    <xdr:to>
      <xdr:col>16</xdr:col>
      <xdr:colOff>238540</xdr:colOff>
      <xdr:row>10</xdr:row>
      <xdr:rowOff>135006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3219450" y="1320248"/>
          <a:ext cx="981490" cy="12150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241852</xdr:colOff>
      <xdr:row>12</xdr:row>
      <xdr:rowOff>113472</xdr:rowOff>
    </xdr:from>
    <xdr:to>
      <xdr:col>17</xdr:col>
      <xdr:colOff>1</xdr:colOff>
      <xdr:row>14</xdr:row>
      <xdr:rowOff>136664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213652" y="2999547"/>
          <a:ext cx="996399" cy="5089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133350</xdr:rowOff>
        </xdr:from>
        <xdr:to>
          <xdr:col>6</xdr:col>
          <xdr:colOff>152400</xdr:colOff>
          <xdr:row>10</xdr:row>
          <xdr:rowOff>152400</xdr:rowOff>
        </xdr:to>
        <xdr:sp macro="" textlink="">
          <xdr:nvSpPr>
            <xdr:cNvPr id="4097" name="Spin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2</xdr:row>
          <xdr:rowOff>161925</xdr:rowOff>
        </xdr:from>
        <xdr:to>
          <xdr:col>32</xdr:col>
          <xdr:colOff>85725</xdr:colOff>
          <xdr:row>3</xdr:row>
          <xdr:rowOff>228600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95250</xdr:rowOff>
        </xdr:from>
        <xdr:to>
          <xdr:col>9</xdr:col>
          <xdr:colOff>123825</xdr:colOff>
          <xdr:row>1</xdr:row>
          <xdr:rowOff>161925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66351</xdr:colOff>
      <xdr:row>5</xdr:row>
      <xdr:rowOff>10026</xdr:rowOff>
    </xdr:from>
    <xdr:to>
      <xdr:col>9</xdr:col>
      <xdr:colOff>165434</xdr:colOff>
      <xdr:row>5</xdr:row>
      <xdr:rowOff>219338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95201" y="1210176"/>
          <a:ext cx="99083" cy="209312"/>
        </a:xfrm>
        <a:prstGeom prst="rightArrow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78383</xdr:colOff>
      <xdr:row>12</xdr:row>
      <xdr:rowOff>22057</xdr:rowOff>
    </xdr:from>
    <xdr:to>
      <xdr:col>9</xdr:col>
      <xdr:colOff>177466</xdr:colOff>
      <xdr:row>12</xdr:row>
      <xdr:rowOff>231369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307233" y="2908132"/>
          <a:ext cx="99083" cy="209312"/>
        </a:xfrm>
        <a:prstGeom prst="rightArrow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2</xdr:row>
      <xdr:rowOff>139977</xdr:rowOff>
    </xdr:from>
    <xdr:to>
      <xdr:col>17</xdr:col>
      <xdr:colOff>19880</xdr:colOff>
      <xdr:row>5</xdr:row>
      <xdr:rowOff>120098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3219450" y="616227"/>
          <a:ext cx="1010480" cy="704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241852</xdr:colOff>
      <xdr:row>6</xdr:row>
      <xdr:rowOff>125068</xdr:rowOff>
    </xdr:from>
    <xdr:to>
      <xdr:col>16</xdr:col>
      <xdr:colOff>245166</xdr:colOff>
      <xdr:row>12</xdr:row>
      <xdr:rowOff>113472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3213652" y="1563343"/>
          <a:ext cx="993914" cy="14362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5</xdr:row>
      <xdr:rowOff>120098</xdr:rowOff>
    </xdr:from>
    <xdr:to>
      <xdr:col>16</xdr:col>
      <xdr:colOff>238540</xdr:colOff>
      <xdr:row>10</xdr:row>
      <xdr:rowOff>135006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3219450" y="1320248"/>
          <a:ext cx="981490" cy="12150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241852</xdr:colOff>
      <xdr:row>12</xdr:row>
      <xdr:rowOff>113472</xdr:rowOff>
    </xdr:from>
    <xdr:to>
      <xdr:col>17</xdr:col>
      <xdr:colOff>1</xdr:colOff>
      <xdr:row>14</xdr:row>
      <xdr:rowOff>136664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213652" y="2999547"/>
          <a:ext cx="996399" cy="5089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133350</xdr:rowOff>
        </xdr:from>
        <xdr:to>
          <xdr:col>6</xdr:col>
          <xdr:colOff>152400</xdr:colOff>
          <xdr:row>10</xdr:row>
          <xdr:rowOff>152400</xdr:rowOff>
        </xdr:to>
        <xdr:sp macro="" textlink="">
          <xdr:nvSpPr>
            <xdr:cNvPr id="8193" name="Spin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2</xdr:row>
          <xdr:rowOff>161925</xdr:rowOff>
        </xdr:from>
        <xdr:to>
          <xdr:col>32</xdr:col>
          <xdr:colOff>85725</xdr:colOff>
          <xdr:row>3</xdr:row>
          <xdr:rowOff>228600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2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DBD57-DF1B-480B-A71F-B9F279DAEEAC}">
  <sheetPr codeName="Sheet2"/>
  <dimension ref="B1:O6"/>
  <sheetViews>
    <sheetView zoomScale="130" zoomScaleNormal="130" workbookViewId="0">
      <selection activeCell="K5" sqref="K5"/>
    </sheetView>
  </sheetViews>
  <sheetFormatPr defaultRowHeight="18.75" x14ac:dyDescent="0.4"/>
  <cols>
    <col min="2" max="19" width="3.25" customWidth="1"/>
  </cols>
  <sheetData>
    <row r="1" spans="2:15" x14ac:dyDescent="0.4">
      <c r="B1" s="39" t="s">
        <v>12</v>
      </c>
      <c r="C1" s="39"/>
      <c r="D1" s="39"/>
      <c r="E1" s="39"/>
      <c r="F1" s="39"/>
      <c r="I1" t="s">
        <v>13</v>
      </c>
      <c r="M1" t="s">
        <v>14</v>
      </c>
    </row>
    <row r="2" spans="2:15" x14ac:dyDescent="0.4">
      <c r="B2" s="1">
        <v>0</v>
      </c>
      <c r="C2" s="1">
        <v>0</v>
      </c>
      <c r="D2" s="1">
        <v>1</v>
      </c>
      <c r="E2" s="1">
        <v>0</v>
      </c>
      <c r="F2" s="1">
        <v>0</v>
      </c>
    </row>
    <row r="3" spans="2:15" x14ac:dyDescent="0.4">
      <c r="B3" s="1">
        <v>0</v>
      </c>
      <c r="C3" s="1">
        <v>1</v>
      </c>
      <c r="D3" s="1">
        <v>0</v>
      </c>
      <c r="E3" s="1">
        <v>1</v>
      </c>
      <c r="F3" s="1">
        <v>0</v>
      </c>
      <c r="I3" s="1">
        <v>0</v>
      </c>
      <c r="J3" s="1">
        <v>0.5</v>
      </c>
      <c r="K3" s="1">
        <v>0</v>
      </c>
      <c r="M3" s="2">
        <f t="shared" ref="M3:O5" si="0">B2*$I$3+C2*$J$3+D2*$K$3+B3*$I$4+C3*$J$4+D3*$K$4+B4*$I$5+C4*$J$5+D4*$K$5</f>
        <v>1</v>
      </c>
      <c r="N3" s="2">
        <f t="shared" si="0"/>
        <v>1.2</v>
      </c>
      <c r="O3" s="2">
        <f t="shared" si="0"/>
        <v>1</v>
      </c>
    </row>
    <row r="4" spans="2:15" x14ac:dyDescent="0.4">
      <c r="B4" s="1">
        <v>1</v>
      </c>
      <c r="C4" s="1">
        <v>0</v>
      </c>
      <c r="D4" s="1">
        <v>0</v>
      </c>
      <c r="E4" s="1">
        <v>0</v>
      </c>
      <c r="F4" s="1">
        <v>1</v>
      </c>
      <c r="I4" s="1">
        <v>0.7</v>
      </c>
      <c r="J4" s="1">
        <v>1</v>
      </c>
      <c r="K4" s="1">
        <v>0</v>
      </c>
      <c r="M4" s="2">
        <f t="shared" si="0"/>
        <v>1.2</v>
      </c>
      <c r="N4" s="2">
        <f t="shared" si="0"/>
        <v>0</v>
      </c>
      <c r="O4" s="2">
        <f t="shared" si="0"/>
        <v>0.5</v>
      </c>
    </row>
    <row r="5" spans="2:15" x14ac:dyDescent="0.4">
      <c r="B5" s="1">
        <v>0</v>
      </c>
      <c r="C5" s="1">
        <v>1</v>
      </c>
      <c r="D5" s="1">
        <v>0</v>
      </c>
      <c r="E5" s="1">
        <v>1</v>
      </c>
      <c r="F5" s="1">
        <v>0</v>
      </c>
      <c r="I5" s="1">
        <v>0</v>
      </c>
      <c r="J5" s="1">
        <v>0</v>
      </c>
      <c r="K5" s="1">
        <v>0</v>
      </c>
      <c r="M5" s="2">
        <f t="shared" si="0"/>
        <v>1</v>
      </c>
      <c r="N5" s="2">
        <f t="shared" si="0"/>
        <v>0.7</v>
      </c>
      <c r="O5" s="2">
        <f t="shared" si="0"/>
        <v>1</v>
      </c>
    </row>
    <row r="6" spans="2:15" x14ac:dyDescent="0.4">
      <c r="B6" s="1">
        <v>0</v>
      </c>
      <c r="C6" s="1">
        <v>0</v>
      </c>
      <c r="D6" s="1">
        <v>1</v>
      </c>
      <c r="E6" s="1">
        <v>0</v>
      </c>
      <c r="F6" s="1">
        <v>0</v>
      </c>
    </row>
  </sheetData>
  <mergeCells count="1">
    <mergeCell ref="B1:F1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DFB2B-9542-4652-8C8D-664A11E40801}">
  <sheetPr codeName="Sheet5"/>
  <dimension ref="A1:AH25"/>
  <sheetViews>
    <sheetView zoomScaleNormal="100" workbookViewId="0">
      <selection activeCell="Y5" sqref="Y5"/>
    </sheetView>
  </sheetViews>
  <sheetFormatPr defaultRowHeight="18.75" x14ac:dyDescent="0.4"/>
  <cols>
    <col min="1" max="6" width="3.25" style="3" customWidth="1"/>
    <col min="7" max="9" width="3.25" style="4" customWidth="1"/>
    <col min="10" max="35" width="3.25" style="3" customWidth="1"/>
    <col min="36" max="16384" width="9" style="3"/>
  </cols>
  <sheetData>
    <row r="1" spans="1:34" x14ac:dyDescent="0.4">
      <c r="R1" s="3" t="s">
        <v>10</v>
      </c>
      <c r="AC1" s="3">
        <v>29</v>
      </c>
      <c r="AD1" s="3">
        <v>30</v>
      </c>
    </row>
    <row r="2" spans="1:34" x14ac:dyDescent="0.4">
      <c r="R2" s="5">
        <v>0</v>
      </c>
      <c r="S2" s="5">
        <v>0.5</v>
      </c>
      <c r="T2" s="5">
        <v>0</v>
      </c>
    </row>
    <row r="3" spans="1:34" x14ac:dyDescent="0.4">
      <c r="G3" s="6" t="s">
        <v>3</v>
      </c>
      <c r="H3" s="7"/>
      <c r="I3" s="7"/>
      <c r="K3" s="3" t="s">
        <v>6</v>
      </c>
      <c r="R3" s="5">
        <v>1</v>
      </c>
      <c r="S3" s="5">
        <v>0</v>
      </c>
      <c r="T3" s="5">
        <v>1</v>
      </c>
      <c r="W3" s="33">
        <f>K5*R2+L5*S2+M5*T2+K6*R3+L6*S3+M6*T3+K7*R4+L7*S4+M7*T4</f>
        <v>7.5</v>
      </c>
    </row>
    <row r="4" spans="1:34" ht="19.5" thickBot="1" x14ac:dyDescent="0.45">
      <c r="K4" s="3" t="s">
        <v>7</v>
      </c>
      <c r="R4" s="5">
        <v>0</v>
      </c>
      <c r="S4" s="5">
        <v>1</v>
      </c>
      <c r="T4" s="5">
        <v>0</v>
      </c>
      <c r="Z4" s="40" t="s">
        <v>4</v>
      </c>
      <c r="AA4" s="40"/>
      <c r="AB4" s="40"/>
    </row>
    <row r="5" spans="1:34" x14ac:dyDescent="0.4">
      <c r="G5" s="5">
        <v>0</v>
      </c>
      <c r="H5" s="5">
        <v>0</v>
      </c>
      <c r="I5" s="5">
        <v>0</v>
      </c>
      <c r="K5" s="16">
        <f t="shared" ref="K5:M7" si="0">A8*$G$5+B8*$H$5+C8*$I$5+A9*$G$6+B9*$H$6+C9*$I$6+A10*$G$7+B10*$H$7+C10*$I$7</f>
        <v>0</v>
      </c>
      <c r="L5" s="17">
        <f t="shared" si="0"/>
        <v>3</v>
      </c>
      <c r="M5" s="18">
        <f t="shared" si="0"/>
        <v>0</v>
      </c>
      <c r="R5" s="3" t="s">
        <v>10</v>
      </c>
      <c r="Y5" s="33">
        <f>K5*R2+L5*S2+M5*T2+K6*R3+L6*S3+M6*T3+K7*R4+L7*S4+M7*T4+K12*R6+L12*S6+M12*T6+K13*R7+L13*S7+M13*T7+K14*R8+L14*S8+M14*T8</f>
        <v>11.913007697453738</v>
      </c>
      <c r="Z5" s="41">
        <f>EXP(Y5)/(EXP($Y$5)+EXP($Y$13))</f>
        <v>0.67420998859917991</v>
      </c>
      <c r="AA5" s="41"/>
      <c r="AB5" s="41"/>
      <c r="AF5" s="3" t="s">
        <v>25</v>
      </c>
      <c r="AG5" s="3" t="s">
        <v>24</v>
      </c>
    </row>
    <row r="6" spans="1:34" x14ac:dyDescent="0.4">
      <c r="G6" s="5">
        <v>1</v>
      </c>
      <c r="H6" s="5">
        <v>0</v>
      </c>
      <c r="I6" s="5">
        <v>1</v>
      </c>
      <c r="K6" s="19">
        <f t="shared" si="0"/>
        <v>2</v>
      </c>
      <c r="L6" s="20">
        <f t="shared" si="0"/>
        <v>0</v>
      </c>
      <c r="M6" s="21">
        <f t="shared" si="0"/>
        <v>2</v>
      </c>
      <c r="R6" s="5">
        <v>0.10174728440118885</v>
      </c>
      <c r="S6" s="5">
        <v>0.53415212297634562</v>
      </c>
      <c r="T6" s="5">
        <v>0.51476797857341772</v>
      </c>
      <c r="AC6" s="40" t="s">
        <v>15</v>
      </c>
      <c r="AD6" s="40"/>
      <c r="AE6" s="40"/>
      <c r="AF6" s="3">
        <v>0</v>
      </c>
      <c r="AG6" s="3">
        <v>1</v>
      </c>
      <c r="AH6" s="3" t="s">
        <v>20</v>
      </c>
    </row>
    <row r="7" spans="1:34" ht="19.5" thickBot="1" x14ac:dyDescent="0.45">
      <c r="A7" s="8" t="s">
        <v>0</v>
      </c>
      <c r="B7" s="6"/>
      <c r="C7" s="8"/>
      <c r="D7" s="8"/>
      <c r="E7" s="8">
        <v>2</v>
      </c>
      <c r="G7" s="5">
        <v>0</v>
      </c>
      <c r="H7" s="5">
        <v>1</v>
      </c>
      <c r="I7" s="5">
        <v>0</v>
      </c>
      <c r="K7" s="22">
        <f t="shared" si="0"/>
        <v>0</v>
      </c>
      <c r="L7" s="23">
        <f t="shared" si="0"/>
        <v>2</v>
      </c>
      <c r="M7" s="24">
        <f t="shared" si="0"/>
        <v>0</v>
      </c>
      <c r="R7" s="5">
        <v>0.64119669110872113</v>
      </c>
      <c r="S7" s="5">
        <v>3.5029073743866324E-3</v>
      </c>
      <c r="T7" s="5">
        <v>0.42165193632369447</v>
      </c>
      <c r="W7" s="33">
        <f>K12*R6+L12*S6+M12*T6+K13*R7+L13*S7+M13*T7+K14*R8+L14*S8+M14*T8</f>
        <v>4.4130076974537369</v>
      </c>
      <c r="AC7" s="40" t="s">
        <v>16</v>
      </c>
      <c r="AD7" s="40"/>
      <c r="AE7" s="40"/>
      <c r="AF7" s="3">
        <v>1</v>
      </c>
      <c r="AG7" s="3">
        <v>1</v>
      </c>
      <c r="AH7" s="3" t="s">
        <v>19</v>
      </c>
    </row>
    <row r="8" spans="1:34" x14ac:dyDescent="0.4">
      <c r="A8" s="9">
        <v>1</v>
      </c>
      <c r="B8" s="9">
        <v>0</v>
      </c>
      <c r="C8" s="10">
        <v>0</v>
      </c>
      <c r="D8" s="9">
        <v>0</v>
      </c>
      <c r="E8" s="9">
        <v>1</v>
      </c>
      <c r="R8" s="5">
        <v>0.59169690709550371</v>
      </c>
      <c r="S8" s="5">
        <v>9.2988519258120461E-2</v>
      </c>
      <c r="T8" s="5">
        <v>0.28815163849532832</v>
      </c>
      <c r="AC8" s="40" t="s">
        <v>17</v>
      </c>
      <c r="AD8" s="40"/>
      <c r="AE8" s="40"/>
      <c r="AF8" s="3">
        <v>0</v>
      </c>
      <c r="AG8" s="3">
        <v>1</v>
      </c>
      <c r="AH8" s="3" t="s">
        <v>20</v>
      </c>
    </row>
    <row r="9" spans="1:34" x14ac:dyDescent="0.4">
      <c r="A9" s="9">
        <v>0</v>
      </c>
      <c r="B9" s="10">
        <v>1</v>
      </c>
      <c r="C9" s="9">
        <v>0</v>
      </c>
      <c r="D9" s="10">
        <v>1</v>
      </c>
      <c r="E9" s="9">
        <v>0</v>
      </c>
      <c r="G9" s="11"/>
      <c r="H9" s="11"/>
      <c r="I9" s="11"/>
      <c r="K9" s="12"/>
      <c r="L9" s="12"/>
      <c r="M9" s="12"/>
      <c r="R9" s="3" t="s">
        <v>11</v>
      </c>
      <c r="S9" s="12"/>
      <c r="T9" s="12"/>
      <c r="AC9" s="40" t="s">
        <v>18</v>
      </c>
      <c r="AD9" s="40"/>
      <c r="AE9" s="40"/>
      <c r="AF9" s="3">
        <v>1</v>
      </c>
      <c r="AG9" s="3">
        <v>1</v>
      </c>
      <c r="AH9" s="3" t="s">
        <v>19</v>
      </c>
    </row>
    <row r="10" spans="1:34" x14ac:dyDescent="0.4">
      <c r="A10" s="10">
        <v>0</v>
      </c>
      <c r="B10" s="9">
        <v>0</v>
      </c>
      <c r="C10" s="9">
        <v>1</v>
      </c>
      <c r="D10" s="9">
        <v>0</v>
      </c>
      <c r="E10" s="10">
        <v>0</v>
      </c>
      <c r="F10" s="13"/>
      <c r="G10" s="13"/>
      <c r="H10" s="13"/>
      <c r="I10" s="13"/>
      <c r="J10" s="13"/>
      <c r="K10" s="13"/>
      <c r="L10" s="13"/>
      <c r="M10" s="13"/>
      <c r="R10" s="5">
        <v>0.45508383730202773</v>
      </c>
      <c r="S10" s="5">
        <v>0.44921563962498157</v>
      </c>
      <c r="T10" s="5">
        <v>9.2361456225353744E-2</v>
      </c>
      <c r="AC10" s="40"/>
      <c r="AD10" s="40"/>
      <c r="AE10" s="40"/>
      <c r="AF10" s="3">
        <v>0</v>
      </c>
      <c r="AG10" s="3">
        <v>0</v>
      </c>
      <c r="AH10" s="3" t="s">
        <v>19</v>
      </c>
    </row>
    <row r="11" spans="1:34" ht="19.5" thickBot="1" x14ac:dyDescent="0.45">
      <c r="A11" s="9">
        <v>0</v>
      </c>
      <c r="B11" s="10">
        <v>1</v>
      </c>
      <c r="C11" s="9">
        <v>0</v>
      </c>
      <c r="D11" s="10">
        <v>1</v>
      </c>
      <c r="E11" s="9">
        <v>0</v>
      </c>
      <c r="F11" s="13"/>
      <c r="G11" s="13"/>
      <c r="H11" s="13"/>
      <c r="I11" s="13"/>
      <c r="J11" s="13"/>
      <c r="K11" s="13"/>
      <c r="L11" s="13"/>
      <c r="M11" s="13"/>
      <c r="R11" s="5">
        <v>0.30592761819098468</v>
      </c>
      <c r="S11" s="5">
        <v>0.89202331986804873</v>
      </c>
      <c r="T11" s="5">
        <v>0.86230190318742872</v>
      </c>
      <c r="W11" s="33">
        <f>K5*R10+L5*S10+M5*T10+K6*R11+L6*S11+M6*T11+K7*R12+L7*S12+M7*T12</f>
        <v>5.0407790520970828</v>
      </c>
      <c r="AC11" s="40"/>
      <c r="AD11" s="40"/>
      <c r="AE11" s="40"/>
      <c r="AF11" s="3">
        <v>1</v>
      </c>
      <c r="AG11" s="3">
        <v>0</v>
      </c>
      <c r="AH11" s="3" t="s">
        <v>20</v>
      </c>
    </row>
    <row r="12" spans="1:34" x14ac:dyDescent="0.4">
      <c r="A12" s="9">
        <v>1</v>
      </c>
      <c r="B12" s="9"/>
      <c r="C12" s="10">
        <v>0</v>
      </c>
      <c r="D12" s="9">
        <v>0</v>
      </c>
      <c r="E12" s="9">
        <v>1</v>
      </c>
      <c r="F12" s="13"/>
      <c r="G12" s="5">
        <v>0.11200364300025178</v>
      </c>
      <c r="H12" s="5">
        <v>0.83273810998288378</v>
      </c>
      <c r="I12" s="5">
        <v>0.57269493485414691</v>
      </c>
      <c r="J12" s="13"/>
      <c r="K12" s="25">
        <f t="shared" ref="K12:M14" si="1">A8*$G$12+B8*$H$12+C8*$I$12+A9*$G$13+B9*$H$13+C9*$I$13+A10*$G$14+B10*$H$14+C10*$I$14</f>
        <v>1.0645769713482047</v>
      </c>
      <c r="L12" s="26">
        <f t="shared" si="1"/>
        <v>0.9093132216665184</v>
      </c>
      <c r="M12" s="27">
        <f t="shared" si="1"/>
        <v>1.6599164574519938</v>
      </c>
      <c r="R12" s="5">
        <v>0.42883036047185863</v>
      </c>
      <c r="S12" s="5">
        <v>0.67833654523265596</v>
      </c>
      <c r="T12" s="5">
        <v>0.74727040035135484</v>
      </c>
      <c r="Z12" s="40" t="s">
        <v>5</v>
      </c>
      <c r="AA12" s="40"/>
      <c r="AB12" s="40"/>
    </row>
    <row r="13" spans="1:34" x14ac:dyDescent="0.4">
      <c r="A13" s="13"/>
      <c r="B13" s="13"/>
      <c r="C13" s="13"/>
      <c r="D13" s="13"/>
      <c r="E13" s="13"/>
      <c r="F13" s="13"/>
      <c r="G13" s="5">
        <v>0.46184971490645388</v>
      </c>
      <c r="H13" s="5">
        <v>0.50320223981748846</v>
      </c>
      <c r="I13" s="5">
        <v>2.429147165300849E-2</v>
      </c>
      <c r="J13" s="13"/>
      <c r="K13" s="28">
        <f t="shared" si="1"/>
        <v>1.2802016167429482</v>
      </c>
      <c r="L13" s="20">
        <f t="shared" si="1"/>
        <v>2.2212911889827103</v>
      </c>
      <c r="M13" s="29">
        <f t="shared" si="1"/>
        <v>1.7177598599963937</v>
      </c>
      <c r="R13" s="3" t="s">
        <v>11</v>
      </c>
      <c r="Y13" s="33">
        <f>K5*R10+L5*S10+M5*T10+K6*R11+L6*S11+M6*T11+K7*R12+L7*S12+M7*T12+K12*R14+L12*S14+M12*T14+K13*R15+L13*S15+M13*T15+K14*R16+L14*S16+M14*T16</f>
        <v>11.185719116293887</v>
      </c>
      <c r="Z13" s="41">
        <f>EXP(Y13)/(EXP($Y$5)+EXP($Y$13))</f>
        <v>0.32579001140082015</v>
      </c>
      <c r="AA13" s="41"/>
      <c r="AB13" s="41"/>
    </row>
    <row r="14" spans="1:34" ht="19.5" thickBot="1" x14ac:dyDescent="0.45">
      <c r="A14" s="13"/>
      <c r="B14" s="13"/>
      <c r="C14" s="13"/>
      <c r="D14" s="13"/>
      <c r="E14" s="13"/>
      <c r="F14" s="13"/>
      <c r="G14" s="5">
        <v>0.58401928278035853</v>
      </c>
      <c r="H14" s="5">
        <v>0.42317203510705603</v>
      </c>
      <c r="I14" s="5">
        <v>0.44937108853046448</v>
      </c>
      <c r="J14" s="13"/>
      <c r="K14" s="30">
        <f t="shared" si="1"/>
        <v>1.6599164574519938</v>
      </c>
      <c r="L14" s="31">
        <f t="shared" si="1"/>
        <v>1.3188792965423461</v>
      </c>
      <c r="M14" s="32">
        <f t="shared" si="1"/>
        <v>1.0645769713482047</v>
      </c>
      <c r="R14" s="5">
        <v>0.42862296427252089</v>
      </c>
      <c r="S14" s="5">
        <v>0.65740088931134399</v>
      </c>
      <c r="T14" s="5">
        <v>0.41570515267521502</v>
      </c>
    </row>
    <row r="15" spans="1:34" x14ac:dyDescent="0.4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R15" s="5">
        <v>0.26454840282190073</v>
      </c>
      <c r="S15" s="5">
        <v>0.2634882679501972</v>
      </c>
      <c r="T15" s="5">
        <v>0.92713054660385363</v>
      </c>
      <c r="W15" s="33">
        <f>K12*R14+L12*S14+M12*T14+K13*R15+L13*S15+M13*T15+K14*R16+L14*S16+M14*T16</f>
        <v>6.1449400641968026</v>
      </c>
    </row>
    <row r="16" spans="1:34" x14ac:dyDescent="0.4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R16" s="5">
        <v>0.33746003589378681</v>
      </c>
      <c r="S16" s="5">
        <v>0.96259227187383478</v>
      </c>
      <c r="T16" s="5">
        <v>5.1262801020651838E-2</v>
      </c>
    </row>
    <row r="17" spans="1:23" x14ac:dyDescent="0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23" x14ac:dyDescent="0.4">
      <c r="B18" s="3" t="s">
        <v>1</v>
      </c>
      <c r="F18" s="13"/>
      <c r="G18" s="3"/>
      <c r="H18" s="3" t="s">
        <v>2</v>
      </c>
      <c r="I18" s="3"/>
      <c r="L18" s="13"/>
      <c r="N18" s="3" t="s">
        <v>8</v>
      </c>
      <c r="T18" s="3" t="s">
        <v>9</v>
      </c>
    </row>
    <row r="19" spans="1:23" x14ac:dyDescent="0.4">
      <c r="A19" s="34">
        <v>0</v>
      </c>
      <c r="B19" s="34">
        <v>0</v>
      </c>
      <c r="C19" s="35">
        <v>1</v>
      </c>
      <c r="D19" s="34">
        <v>0</v>
      </c>
      <c r="E19" s="34">
        <v>0</v>
      </c>
      <c r="F19" s="36"/>
      <c r="G19" s="35">
        <v>1</v>
      </c>
      <c r="H19" s="34">
        <v>0</v>
      </c>
      <c r="I19" s="34">
        <v>0</v>
      </c>
      <c r="J19" s="34">
        <v>0</v>
      </c>
      <c r="K19" s="35">
        <v>1</v>
      </c>
      <c r="L19" s="36"/>
      <c r="M19" s="34">
        <v>0</v>
      </c>
      <c r="N19" s="34">
        <v>0</v>
      </c>
      <c r="O19" s="35">
        <v>1</v>
      </c>
      <c r="P19" s="34">
        <v>0</v>
      </c>
      <c r="Q19" s="34">
        <v>0</v>
      </c>
      <c r="R19" s="33"/>
      <c r="S19" s="34">
        <v>0</v>
      </c>
      <c r="T19" s="34">
        <v>0</v>
      </c>
      <c r="U19" s="34">
        <v>0</v>
      </c>
      <c r="V19" s="34">
        <v>0</v>
      </c>
      <c r="W19" s="34">
        <v>0</v>
      </c>
    </row>
    <row r="20" spans="1:23" x14ac:dyDescent="0.4">
      <c r="A20" s="34">
        <v>0</v>
      </c>
      <c r="B20" s="35">
        <v>1</v>
      </c>
      <c r="C20" s="34">
        <v>0</v>
      </c>
      <c r="D20" s="35">
        <v>1</v>
      </c>
      <c r="E20" s="34">
        <v>0</v>
      </c>
      <c r="F20" s="36"/>
      <c r="G20" s="34">
        <v>0</v>
      </c>
      <c r="H20" s="35">
        <v>1</v>
      </c>
      <c r="I20" s="34">
        <v>0</v>
      </c>
      <c r="J20" s="35">
        <v>1</v>
      </c>
      <c r="K20" s="34">
        <v>0</v>
      </c>
      <c r="L20" s="36"/>
      <c r="M20" s="34">
        <v>0</v>
      </c>
      <c r="N20" s="35">
        <v>1</v>
      </c>
      <c r="O20" s="34">
        <v>0</v>
      </c>
      <c r="P20" s="35">
        <v>1</v>
      </c>
      <c r="Q20" s="34">
        <v>0</v>
      </c>
      <c r="R20" s="33"/>
      <c r="S20" s="34">
        <v>0</v>
      </c>
      <c r="T20" s="35">
        <v>1</v>
      </c>
      <c r="U20" s="34">
        <v>0</v>
      </c>
      <c r="V20" s="35">
        <v>1</v>
      </c>
      <c r="W20" s="34">
        <v>0</v>
      </c>
    </row>
    <row r="21" spans="1:23" x14ac:dyDescent="0.4">
      <c r="A21" s="35">
        <v>1</v>
      </c>
      <c r="B21" s="34">
        <v>0</v>
      </c>
      <c r="C21" s="34">
        <v>0</v>
      </c>
      <c r="D21" s="34">
        <v>0</v>
      </c>
      <c r="E21" s="35">
        <v>1</v>
      </c>
      <c r="F21" s="33"/>
      <c r="G21" s="34">
        <v>0</v>
      </c>
      <c r="H21" s="34">
        <v>0</v>
      </c>
      <c r="I21" s="35">
        <v>1</v>
      </c>
      <c r="J21" s="34">
        <v>0</v>
      </c>
      <c r="K21" s="34">
        <v>0</v>
      </c>
      <c r="L21" s="33"/>
      <c r="M21" s="37">
        <v>0</v>
      </c>
      <c r="N21" s="35">
        <v>1</v>
      </c>
      <c r="O21" s="34">
        <v>0</v>
      </c>
      <c r="P21" s="35">
        <v>1</v>
      </c>
      <c r="Q21" s="38">
        <v>0</v>
      </c>
      <c r="R21" s="33"/>
      <c r="S21" s="34">
        <v>0</v>
      </c>
      <c r="T21" s="34">
        <v>0</v>
      </c>
      <c r="U21" s="35">
        <v>1</v>
      </c>
      <c r="V21" s="34">
        <v>0</v>
      </c>
      <c r="W21" s="34">
        <v>0</v>
      </c>
    </row>
    <row r="22" spans="1:23" x14ac:dyDescent="0.4">
      <c r="A22" s="34">
        <v>0</v>
      </c>
      <c r="B22" s="35">
        <v>1</v>
      </c>
      <c r="C22" s="34">
        <v>0</v>
      </c>
      <c r="D22" s="35">
        <v>1</v>
      </c>
      <c r="E22" s="34">
        <v>0</v>
      </c>
      <c r="F22" s="33"/>
      <c r="G22" s="34">
        <v>0</v>
      </c>
      <c r="H22" s="35">
        <v>1</v>
      </c>
      <c r="I22" s="34">
        <v>0</v>
      </c>
      <c r="J22" s="35">
        <v>1</v>
      </c>
      <c r="K22" s="34">
        <v>0</v>
      </c>
      <c r="L22" s="33"/>
      <c r="M22" s="34">
        <v>0</v>
      </c>
      <c r="N22" s="35">
        <v>1</v>
      </c>
      <c r="O22" s="34">
        <v>0</v>
      </c>
      <c r="P22" s="35">
        <v>1</v>
      </c>
      <c r="Q22" s="34">
        <v>0</v>
      </c>
      <c r="R22" s="33"/>
      <c r="S22" s="34">
        <v>0</v>
      </c>
      <c r="T22" s="35">
        <v>1</v>
      </c>
      <c r="U22" s="34">
        <v>0</v>
      </c>
      <c r="V22" s="35">
        <v>1</v>
      </c>
      <c r="W22" s="34">
        <v>0</v>
      </c>
    </row>
    <row r="23" spans="1:23" x14ac:dyDescent="0.4">
      <c r="A23" s="34">
        <v>0</v>
      </c>
      <c r="B23" s="34">
        <v>0</v>
      </c>
      <c r="C23" s="35">
        <v>1</v>
      </c>
      <c r="D23" s="34">
        <v>0</v>
      </c>
      <c r="E23" s="34">
        <v>0</v>
      </c>
      <c r="F23" s="33"/>
      <c r="G23" s="35">
        <v>1</v>
      </c>
      <c r="H23" s="34"/>
      <c r="I23" s="34">
        <v>0</v>
      </c>
      <c r="J23" s="34">
        <v>0</v>
      </c>
      <c r="K23" s="35">
        <v>1</v>
      </c>
      <c r="L23" s="33"/>
      <c r="M23" s="34">
        <v>0</v>
      </c>
      <c r="N23" s="34">
        <v>0</v>
      </c>
      <c r="O23" s="35">
        <v>1</v>
      </c>
      <c r="P23" s="34">
        <v>0</v>
      </c>
      <c r="Q23" s="34">
        <v>0</v>
      </c>
      <c r="R23" s="33"/>
      <c r="S23" s="34">
        <v>0</v>
      </c>
      <c r="T23" s="34">
        <v>0</v>
      </c>
      <c r="U23" s="34">
        <v>0</v>
      </c>
      <c r="V23" s="34">
        <v>0</v>
      </c>
      <c r="W23" s="34">
        <v>0</v>
      </c>
    </row>
    <row r="24" spans="1:23" x14ac:dyDescent="0.4">
      <c r="A24" s="14"/>
      <c r="B24" s="14"/>
      <c r="C24" s="15"/>
      <c r="D24" s="14"/>
      <c r="E24" s="14"/>
    </row>
    <row r="25" spans="1:23" x14ac:dyDescent="0.4">
      <c r="A25" s="14"/>
      <c r="B25" s="14"/>
      <c r="C25" s="14"/>
      <c r="D25" s="14"/>
      <c r="E25" s="14"/>
    </row>
  </sheetData>
  <sheetProtection sheet="1" objects="1" scenarios="1"/>
  <mergeCells count="10">
    <mergeCell ref="AC10:AE10"/>
    <mergeCell ref="AC11:AE11"/>
    <mergeCell ref="Z12:AB12"/>
    <mergeCell ref="Z13:AB13"/>
    <mergeCell ref="Z4:AB4"/>
    <mergeCell ref="Z5:AB5"/>
    <mergeCell ref="AC6:AE6"/>
    <mergeCell ref="AC7:AE7"/>
    <mergeCell ref="AC8:AE8"/>
    <mergeCell ref="AC9:AE9"/>
  </mergeCells>
  <phoneticPr fontId="1"/>
  <conditionalFormatting sqref="K5:M7">
    <cfRule type="colorScale" priority="5">
      <colorScale>
        <cfvo type="min"/>
        <cfvo type="max"/>
        <color rgb="FFFCFCFF"/>
        <color rgb="FF0070C0"/>
      </colorScale>
    </cfRule>
  </conditionalFormatting>
  <conditionalFormatting sqref="K12:M14">
    <cfRule type="colorScale" priority="4">
      <colorScale>
        <cfvo type="min"/>
        <cfvo type="max"/>
        <color rgb="FFFCFCFF"/>
        <color rgb="FF63BE7B"/>
      </colorScale>
    </cfRule>
  </conditionalFormatting>
  <conditionalFormatting sqref="G5:I7">
    <cfRule type="colorScale" priority="3">
      <colorScale>
        <cfvo type="min"/>
        <cfvo type="max"/>
        <color rgb="FFFCFCFF"/>
        <color rgb="FF0070C0"/>
      </colorScale>
    </cfRule>
  </conditionalFormatting>
  <conditionalFormatting sqref="G12:I14">
    <cfRule type="colorScale" priority="2">
      <colorScale>
        <cfvo type="min"/>
        <cfvo type="max"/>
        <color rgb="FFFCFCFF"/>
        <color rgb="FF63BE7B"/>
      </colorScale>
    </cfRule>
  </conditionalFormatting>
  <conditionalFormatting sqref="A8:E12">
    <cfRule type="colorScale" priority="1">
      <colorScale>
        <cfvo type="min"/>
        <cfvo type="max"/>
        <color rgb="FFFCFCFF"/>
        <color theme="0" tint="-0.34998626667073579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28</xdr:col>
                <xdr:colOff>76200</xdr:colOff>
                <xdr:row>2</xdr:row>
                <xdr:rowOff>161925</xdr:rowOff>
              </from>
              <to>
                <xdr:col>32</xdr:col>
                <xdr:colOff>85725</xdr:colOff>
                <xdr:row>3</xdr:row>
                <xdr:rowOff>228600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1" r:id="rId6" name="SpinButton1">
          <controlPr defaultSize="0" autoLine="0" r:id="rId7">
            <anchor moveWithCells="1">
              <from>
                <xdr:col>5</xdr:col>
                <xdr:colOff>47625</xdr:colOff>
                <xdr:row>8</xdr:row>
                <xdr:rowOff>133350</xdr:rowOff>
              </from>
              <to>
                <xdr:col>6</xdr:col>
                <xdr:colOff>152400</xdr:colOff>
                <xdr:row>10</xdr:row>
                <xdr:rowOff>152400</xdr:rowOff>
              </to>
            </anchor>
          </controlPr>
        </control>
      </mc:Choice>
      <mc:Fallback>
        <control shapeId="5121" r:id="rId6" name="Spin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5CF66-9ECD-4481-A313-98AD8B742653}">
  <sheetPr codeName="Sheet4"/>
  <dimension ref="A1:AI25"/>
  <sheetViews>
    <sheetView zoomScaleNormal="100" workbookViewId="0">
      <selection activeCell="M16" sqref="M16"/>
    </sheetView>
  </sheetViews>
  <sheetFormatPr defaultRowHeight="18.75" x14ac:dyDescent="0.4"/>
  <cols>
    <col min="1" max="6" width="3.25" style="3" customWidth="1"/>
    <col min="7" max="9" width="3.25" style="4" customWidth="1"/>
    <col min="10" max="35" width="3.25" style="3" customWidth="1"/>
    <col min="36" max="16384" width="9" style="3"/>
  </cols>
  <sheetData>
    <row r="1" spans="1:34" x14ac:dyDescent="0.4">
      <c r="R1" s="3" t="s">
        <v>10</v>
      </c>
      <c r="AC1" s="3">
        <v>29</v>
      </c>
      <c r="AD1" s="3">
        <v>30</v>
      </c>
    </row>
    <row r="2" spans="1:34" x14ac:dyDescent="0.4">
      <c r="R2" s="5">
        <v>0</v>
      </c>
      <c r="S2" s="5">
        <v>0.5</v>
      </c>
      <c r="T2" s="5">
        <v>0</v>
      </c>
    </row>
    <row r="3" spans="1:34" x14ac:dyDescent="0.4">
      <c r="G3" s="6" t="s">
        <v>3</v>
      </c>
      <c r="H3" s="7"/>
      <c r="I3" s="7"/>
      <c r="K3" s="3" t="s">
        <v>6</v>
      </c>
      <c r="R3" s="5">
        <v>1</v>
      </c>
      <c r="S3" s="5">
        <v>0</v>
      </c>
      <c r="T3" s="5">
        <v>1</v>
      </c>
      <c r="V3" s="3" t="s">
        <v>26</v>
      </c>
      <c r="W3" s="33">
        <f>K5*R2+L5*S2+M5*T2+K6*R3+L6*S3+M6*T3+K7*R4+L7*S4+M7*T4</f>
        <v>7.5</v>
      </c>
    </row>
    <row r="4" spans="1:34" ht="19.5" thickBot="1" x14ac:dyDescent="0.45">
      <c r="K4" s="3" t="s">
        <v>7</v>
      </c>
      <c r="R4" s="5">
        <v>0</v>
      </c>
      <c r="S4" s="5">
        <v>1</v>
      </c>
      <c r="T4" s="5">
        <v>0</v>
      </c>
      <c r="Z4" s="40" t="s">
        <v>4</v>
      </c>
      <c r="AA4" s="40"/>
      <c r="AB4" s="40"/>
    </row>
    <row r="5" spans="1:34" x14ac:dyDescent="0.4">
      <c r="G5" s="5">
        <v>0</v>
      </c>
      <c r="H5" s="5">
        <v>0</v>
      </c>
      <c r="I5" s="5">
        <v>0</v>
      </c>
      <c r="K5" s="16">
        <f t="shared" ref="K5:M7" si="0">A8*$G$5+B8*$H$5+C8*$I$5+A9*$G$6+B9*$H$6+C9*$I$6+A10*$G$7+B10*$H$7+C10*$I$7</f>
        <v>0</v>
      </c>
      <c r="L5" s="17">
        <f t="shared" si="0"/>
        <v>3</v>
      </c>
      <c r="M5" s="18">
        <f t="shared" si="0"/>
        <v>0</v>
      </c>
      <c r="R5" s="3" t="s">
        <v>10</v>
      </c>
      <c r="Y5" s="33">
        <f>K5*R2+L5*S2+M5*T2+K6*R3+L6*S3+M6*T3+K7*R4+L7*S4+M7*T4+K12*R6+L12*S6+M12*T6+K13*R7+L13*S7+M13*T7+K14*R8+L14*S8+M14*T8</f>
        <v>11.414130662310109</v>
      </c>
      <c r="Z5" s="41">
        <f>EXP(Y5)/(EXP($Y$5)+EXP($Y$13))</f>
        <v>0.52313509347238329</v>
      </c>
      <c r="AA5" s="41"/>
      <c r="AB5" s="41"/>
      <c r="AF5" s="3" t="s">
        <v>25</v>
      </c>
      <c r="AG5" s="3" t="s">
        <v>24</v>
      </c>
    </row>
    <row r="6" spans="1:34" x14ac:dyDescent="0.4">
      <c r="G6" s="5">
        <v>1</v>
      </c>
      <c r="H6" s="5">
        <v>0</v>
      </c>
      <c r="I6" s="5">
        <v>1</v>
      </c>
      <c r="K6" s="19">
        <f t="shared" si="0"/>
        <v>2</v>
      </c>
      <c r="L6" s="20">
        <f t="shared" si="0"/>
        <v>0</v>
      </c>
      <c r="M6" s="21">
        <f t="shared" si="0"/>
        <v>2</v>
      </c>
      <c r="R6" s="5">
        <v>0.10174728440118885</v>
      </c>
      <c r="S6" s="5">
        <v>0.53415212297634562</v>
      </c>
      <c r="T6" s="5">
        <v>0.51476797857341772</v>
      </c>
      <c r="AC6" s="40" t="s">
        <v>15</v>
      </c>
      <c r="AD6" s="40"/>
      <c r="AE6" s="40"/>
      <c r="AF6" s="3">
        <v>0</v>
      </c>
      <c r="AG6" s="3">
        <v>1</v>
      </c>
      <c r="AH6" s="3" t="s">
        <v>20</v>
      </c>
    </row>
    <row r="7" spans="1:34" ht="19.5" thickBot="1" x14ac:dyDescent="0.45">
      <c r="A7" s="8" t="s">
        <v>0</v>
      </c>
      <c r="B7" s="6"/>
      <c r="C7" s="8"/>
      <c r="D7" s="8"/>
      <c r="E7" s="8">
        <v>5</v>
      </c>
      <c r="G7" s="5">
        <v>0</v>
      </c>
      <c r="H7" s="5">
        <v>1</v>
      </c>
      <c r="I7" s="5">
        <v>0</v>
      </c>
      <c r="K7" s="22">
        <f t="shared" si="0"/>
        <v>0</v>
      </c>
      <c r="L7" s="23">
        <f t="shared" si="0"/>
        <v>2</v>
      </c>
      <c r="M7" s="24">
        <f t="shared" si="0"/>
        <v>0</v>
      </c>
      <c r="R7" s="5">
        <v>0.64119669110872113</v>
      </c>
      <c r="S7" s="5">
        <v>3.5029073743866324E-3</v>
      </c>
      <c r="T7" s="5">
        <v>0.42165193632369447</v>
      </c>
      <c r="W7" s="33">
        <f>K12*R6+L12*S6+M12*T6+K13*R7+L13*S7+M13*T7+K14*R8+L14*S8+M14*T8</f>
        <v>3.9141306623101091</v>
      </c>
      <c r="AC7" s="40" t="s">
        <v>16</v>
      </c>
      <c r="AD7" s="40"/>
      <c r="AE7" s="40"/>
      <c r="AF7" s="3">
        <v>1</v>
      </c>
      <c r="AG7" s="3">
        <v>0</v>
      </c>
      <c r="AH7" s="3" t="s">
        <v>20</v>
      </c>
    </row>
    <row r="8" spans="1:34" x14ac:dyDescent="0.4">
      <c r="A8" s="9">
        <v>1</v>
      </c>
      <c r="B8" s="9">
        <v>0</v>
      </c>
      <c r="C8" s="10">
        <v>0</v>
      </c>
      <c r="D8" s="9">
        <v>0</v>
      </c>
      <c r="E8" s="9">
        <v>1</v>
      </c>
      <c r="R8" s="5">
        <v>0.59169690709550371</v>
      </c>
      <c r="S8" s="5">
        <v>9.2988519258120461E-2</v>
      </c>
      <c r="T8" s="5">
        <v>0.28815163849532832</v>
      </c>
      <c r="AC8" s="40" t="s">
        <v>17</v>
      </c>
      <c r="AD8" s="40"/>
      <c r="AE8" s="40"/>
      <c r="AF8" s="3">
        <v>0</v>
      </c>
      <c r="AG8" s="3">
        <v>1</v>
      </c>
      <c r="AH8" s="3" t="s">
        <v>20</v>
      </c>
    </row>
    <row r="9" spans="1:34" x14ac:dyDescent="0.4">
      <c r="A9" s="9">
        <v>0</v>
      </c>
      <c r="B9" s="10">
        <v>1</v>
      </c>
      <c r="C9" s="9">
        <v>0</v>
      </c>
      <c r="D9" s="10">
        <v>1</v>
      </c>
      <c r="E9" s="9">
        <v>0</v>
      </c>
      <c r="G9" s="11"/>
      <c r="H9" s="11"/>
      <c r="I9" s="11"/>
      <c r="K9" s="12"/>
      <c r="L9" s="12"/>
      <c r="M9" s="12"/>
      <c r="R9" s="3" t="s">
        <v>11</v>
      </c>
      <c r="S9" s="12"/>
      <c r="T9" s="12"/>
      <c r="AC9" s="40" t="s">
        <v>18</v>
      </c>
      <c r="AD9" s="40"/>
      <c r="AE9" s="40"/>
      <c r="AF9" s="3">
        <v>1</v>
      </c>
      <c r="AG9" s="3">
        <v>0</v>
      </c>
      <c r="AH9" s="3" t="s">
        <v>20</v>
      </c>
    </row>
    <row r="10" spans="1:34" x14ac:dyDescent="0.4">
      <c r="A10" s="10">
        <v>0</v>
      </c>
      <c r="B10" s="9">
        <v>0</v>
      </c>
      <c r="C10" s="9">
        <v>1</v>
      </c>
      <c r="D10" s="9">
        <v>0</v>
      </c>
      <c r="E10" s="10">
        <v>0</v>
      </c>
      <c r="F10" s="13"/>
      <c r="G10" s="13"/>
      <c r="H10" s="13"/>
      <c r="I10" s="13"/>
      <c r="J10" s="13"/>
      <c r="K10" s="13"/>
      <c r="L10" s="13"/>
      <c r="M10" s="13"/>
      <c r="R10" s="5">
        <v>0.45508383730202773</v>
      </c>
      <c r="S10" s="5">
        <v>0.44921563962498157</v>
      </c>
      <c r="T10" s="5">
        <v>9.2361456225353744E-2</v>
      </c>
      <c r="AC10" s="40" t="s">
        <v>22</v>
      </c>
      <c r="AD10" s="40"/>
      <c r="AE10" s="40"/>
      <c r="AF10" s="3">
        <v>0</v>
      </c>
      <c r="AG10" s="3">
        <v>1</v>
      </c>
      <c r="AH10" s="3" t="s">
        <v>20</v>
      </c>
    </row>
    <row r="11" spans="1:34" ht="19.5" thickBot="1" x14ac:dyDescent="0.45">
      <c r="A11" s="9">
        <v>0</v>
      </c>
      <c r="B11" s="10">
        <v>1</v>
      </c>
      <c r="C11" s="9">
        <v>0</v>
      </c>
      <c r="D11" s="10">
        <v>1</v>
      </c>
      <c r="E11" s="9">
        <v>0</v>
      </c>
      <c r="F11" s="13"/>
      <c r="G11" s="13"/>
      <c r="H11" s="13"/>
      <c r="I11" s="13"/>
      <c r="J11" s="13"/>
      <c r="K11" s="13"/>
      <c r="L11" s="13"/>
      <c r="M11" s="13"/>
      <c r="R11" s="5">
        <v>0.30592761819098468</v>
      </c>
      <c r="S11" s="5">
        <v>0.89202331986804873</v>
      </c>
      <c r="T11" s="5">
        <v>0.86230190318742872</v>
      </c>
      <c r="W11" s="33">
        <f>K5*R10+L5*S10+M5*T10+K6*R11+L6*S11+M6*T11+K7*R12+L7*S12+M7*T12</f>
        <v>5.0407790520970828</v>
      </c>
      <c r="AC11" s="40" t="s">
        <v>23</v>
      </c>
      <c r="AD11" s="40"/>
      <c r="AE11" s="40"/>
      <c r="AF11" s="3">
        <v>1</v>
      </c>
      <c r="AG11" s="3">
        <v>0</v>
      </c>
      <c r="AH11" s="3" t="s">
        <v>20</v>
      </c>
    </row>
    <row r="12" spans="1:34" x14ac:dyDescent="0.4">
      <c r="A12" s="9">
        <v>0</v>
      </c>
      <c r="B12" s="9">
        <v>0</v>
      </c>
      <c r="C12" s="10">
        <v>0</v>
      </c>
      <c r="D12" s="9">
        <v>0</v>
      </c>
      <c r="E12" s="9">
        <v>0</v>
      </c>
      <c r="F12" s="13"/>
      <c r="G12" s="5">
        <v>0</v>
      </c>
      <c r="H12" s="5">
        <v>0</v>
      </c>
      <c r="I12" s="5">
        <v>0</v>
      </c>
      <c r="J12" s="13"/>
      <c r="K12" s="25">
        <f t="shared" ref="K12:M14" si="1">A8*$G$12+B8*$H$12+C8*$I$12+A9*$G$13+B9*$H$13+C9*$I$13+A10*$G$14+B10*$H$14+C10*$I$14</f>
        <v>0</v>
      </c>
      <c r="L12" s="26">
        <f t="shared" si="1"/>
        <v>3</v>
      </c>
      <c r="M12" s="27">
        <f t="shared" si="1"/>
        <v>0</v>
      </c>
      <c r="R12" s="5">
        <v>0.42883036047185863</v>
      </c>
      <c r="S12" s="5">
        <v>0.67833654523265596</v>
      </c>
      <c r="T12" s="5">
        <v>0.74727040035135484</v>
      </c>
      <c r="Z12" s="40" t="s">
        <v>5</v>
      </c>
      <c r="AA12" s="40"/>
      <c r="AB12" s="40"/>
    </row>
    <row r="13" spans="1:34" x14ac:dyDescent="0.4">
      <c r="A13" s="13"/>
      <c r="B13" s="13"/>
      <c r="C13" s="13"/>
      <c r="D13" s="13"/>
      <c r="E13" s="13"/>
      <c r="F13" s="13"/>
      <c r="G13" s="5">
        <v>1</v>
      </c>
      <c r="H13" s="5">
        <v>0</v>
      </c>
      <c r="I13" s="5">
        <v>1</v>
      </c>
      <c r="J13" s="13"/>
      <c r="K13" s="28">
        <f t="shared" si="1"/>
        <v>2</v>
      </c>
      <c r="L13" s="20">
        <f t="shared" si="1"/>
        <v>0</v>
      </c>
      <c r="M13" s="29">
        <f t="shared" si="1"/>
        <v>2</v>
      </c>
      <c r="R13" s="3" t="s">
        <v>11</v>
      </c>
      <c r="Y13" s="33">
        <f>K5*R10+L5*S10+M5*T10+K6*R11+L6*S11+M6*T11+K7*R12+L7*S12+M7*T12+K12*R14+L12*S14+M12*T14+K13*R15+L13*S15+M13*T15+K14*R16+L14*S16+M14*T16</f>
        <v>11.321524162630292</v>
      </c>
      <c r="Z13" s="41">
        <f>EXP(Y13)/(EXP($Y$5)+EXP($Y$13))</f>
        <v>0.47686490652761659</v>
      </c>
      <c r="AA13" s="41"/>
      <c r="AB13" s="41"/>
    </row>
    <row r="14" spans="1:34" ht="19.5" thickBot="1" x14ac:dyDescent="0.45">
      <c r="A14" s="13"/>
      <c r="B14" s="13"/>
      <c r="C14" s="13"/>
      <c r="D14" s="13"/>
      <c r="E14" s="13"/>
      <c r="F14" s="13"/>
      <c r="G14" s="5">
        <v>0</v>
      </c>
      <c r="H14" s="5">
        <v>1</v>
      </c>
      <c r="I14" s="5">
        <v>0</v>
      </c>
      <c r="J14" s="13"/>
      <c r="K14" s="30">
        <f t="shared" si="1"/>
        <v>0</v>
      </c>
      <c r="L14" s="31">
        <f t="shared" si="1"/>
        <v>2</v>
      </c>
      <c r="M14" s="32">
        <f t="shared" si="1"/>
        <v>0</v>
      </c>
      <c r="R14" s="5">
        <v>0.42862296427252089</v>
      </c>
      <c r="S14" s="5">
        <v>0.65740088931134399</v>
      </c>
      <c r="T14" s="5">
        <v>0.41570515267521502</v>
      </c>
    </row>
    <row r="15" spans="1:34" x14ac:dyDescent="0.4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R15" s="5">
        <v>0.26454840282190073</v>
      </c>
      <c r="S15" s="5">
        <v>0.2634882679501972</v>
      </c>
      <c r="T15" s="5">
        <v>0.92713054660385363</v>
      </c>
      <c r="W15" s="33">
        <f>K12*R14+L12*S14+M12*T14+K13*R15+L13*S15+M13*T15+K14*R16+L14*S16+M14*T16</f>
        <v>6.2807451105332106</v>
      </c>
    </row>
    <row r="16" spans="1:34" x14ac:dyDescent="0.4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R16" s="5">
        <v>0.33746003589378681</v>
      </c>
      <c r="S16" s="5">
        <v>0.96259227187383478</v>
      </c>
      <c r="T16" s="5">
        <v>5.1262801020651838E-2</v>
      </c>
    </row>
    <row r="17" spans="1:35" x14ac:dyDescent="0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35" x14ac:dyDescent="0.4">
      <c r="B18" s="3" t="s">
        <v>1</v>
      </c>
      <c r="F18" s="13"/>
      <c r="G18" s="3"/>
      <c r="H18" s="3" t="s">
        <v>2</v>
      </c>
      <c r="I18" s="3"/>
      <c r="L18" s="13"/>
      <c r="N18" s="3" t="s">
        <v>8</v>
      </c>
      <c r="T18" s="3" t="s">
        <v>9</v>
      </c>
      <c r="Z18" s="3" t="s">
        <v>21</v>
      </c>
      <c r="AF18" s="3" t="s">
        <v>2</v>
      </c>
    </row>
    <row r="19" spans="1:35" x14ac:dyDescent="0.4">
      <c r="A19" s="34">
        <v>0</v>
      </c>
      <c r="B19" s="34">
        <v>0</v>
      </c>
      <c r="C19" s="35">
        <v>1</v>
      </c>
      <c r="D19" s="34">
        <v>0</v>
      </c>
      <c r="E19" s="34">
        <v>0</v>
      </c>
      <c r="F19" s="36"/>
      <c r="G19" s="35">
        <v>1</v>
      </c>
      <c r="H19" s="34">
        <v>0</v>
      </c>
      <c r="I19" s="34">
        <v>0</v>
      </c>
      <c r="J19" s="34">
        <v>0</v>
      </c>
      <c r="K19" s="35">
        <v>1</v>
      </c>
      <c r="L19" s="36"/>
      <c r="M19" s="34">
        <v>0</v>
      </c>
      <c r="N19" s="34">
        <v>0</v>
      </c>
      <c r="O19" s="35">
        <v>1</v>
      </c>
      <c r="P19" s="34">
        <v>0</v>
      </c>
      <c r="Q19" s="34">
        <v>0</v>
      </c>
      <c r="R19" s="33"/>
      <c r="S19" s="34">
        <v>0</v>
      </c>
      <c r="T19" s="34">
        <v>0</v>
      </c>
      <c r="U19" s="34">
        <v>0</v>
      </c>
      <c r="V19" s="34">
        <v>0</v>
      </c>
      <c r="W19" s="34">
        <v>0</v>
      </c>
      <c r="X19" s="33"/>
      <c r="Y19" s="35">
        <v>1</v>
      </c>
      <c r="Z19" s="35">
        <v>1</v>
      </c>
      <c r="AA19" s="35">
        <v>1</v>
      </c>
      <c r="AB19" s="35">
        <v>1</v>
      </c>
      <c r="AC19" s="35">
        <v>1</v>
      </c>
      <c r="AD19" s="33"/>
      <c r="AE19" s="35">
        <v>1</v>
      </c>
      <c r="AF19" s="34">
        <v>0</v>
      </c>
      <c r="AG19" s="34">
        <v>0</v>
      </c>
      <c r="AH19" s="34">
        <v>0</v>
      </c>
      <c r="AI19" s="35">
        <v>1</v>
      </c>
    </row>
    <row r="20" spans="1:35" x14ac:dyDescent="0.4">
      <c r="A20" s="34">
        <v>0</v>
      </c>
      <c r="B20" s="35">
        <v>1</v>
      </c>
      <c r="C20" s="34">
        <v>0</v>
      </c>
      <c r="D20" s="35">
        <v>1</v>
      </c>
      <c r="E20" s="34">
        <v>0</v>
      </c>
      <c r="F20" s="36"/>
      <c r="G20" s="34">
        <v>0</v>
      </c>
      <c r="H20" s="35">
        <v>1</v>
      </c>
      <c r="I20" s="34">
        <v>0</v>
      </c>
      <c r="J20" s="35">
        <v>1</v>
      </c>
      <c r="K20" s="34">
        <v>0</v>
      </c>
      <c r="L20" s="36"/>
      <c r="M20" s="34">
        <v>0</v>
      </c>
      <c r="N20" s="35">
        <v>1</v>
      </c>
      <c r="O20" s="34">
        <v>0</v>
      </c>
      <c r="P20" s="35">
        <v>1</v>
      </c>
      <c r="Q20" s="34">
        <v>0</v>
      </c>
      <c r="R20" s="33"/>
      <c r="S20" s="34">
        <v>0</v>
      </c>
      <c r="T20" s="35">
        <v>1</v>
      </c>
      <c r="U20" s="34">
        <v>0</v>
      </c>
      <c r="V20" s="35">
        <v>1</v>
      </c>
      <c r="W20" s="34">
        <v>0</v>
      </c>
      <c r="X20" s="33"/>
      <c r="Y20" s="35">
        <v>1</v>
      </c>
      <c r="Z20" s="34">
        <v>0</v>
      </c>
      <c r="AA20" s="34">
        <v>0</v>
      </c>
      <c r="AB20" s="34">
        <v>0</v>
      </c>
      <c r="AC20" s="35">
        <v>1</v>
      </c>
      <c r="AD20" s="33"/>
      <c r="AE20" s="34">
        <v>0</v>
      </c>
      <c r="AF20" s="35">
        <v>1</v>
      </c>
      <c r="AG20" s="34">
        <v>0</v>
      </c>
      <c r="AH20" s="35">
        <v>1</v>
      </c>
      <c r="AI20" s="34">
        <v>0</v>
      </c>
    </row>
    <row r="21" spans="1:35" x14ac:dyDescent="0.4">
      <c r="A21" s="35">
        <v>1</v>
      </c>
      <c r="B21" s="34">
        <v>0</v>
      </c>
      <c r="C21" s="34">
        <v>0</v>
      </c>
      <c r="D21" s="34">
        <v>0</v>
      </c>
      <c r="E21" s="35">
        <v>1</v>
      </c>
      <c r="F21" s="33"/>
      <c r="G21" s="34">
        <v>0</v>
      </c>
      <c r="H21" s="34">
        <v>0</v>
      </c>
      <c r="I21" s="35">
        <v>1</v>
      </c>
      <c r="J21" s="34">
        <v>0</v>
      </c>
      <c r="K21" s="34">
        <v>0</v>
      </c>
      <c r="L21" s="33"/>
      <c r="M21" s="37">
        <v>0</v>
      </c>
      <c r="N21" s="35">
        <v>1</v>
      </c>
      <c r="O21" s="34">
        <v>0</v>
      </c>
      <c r="P21" s="35">
        <v>1</v>
      </c>
      <c r="Q21" s="38">
        <v>0</v>
      </c>
      <c r="R21" s="33"/>
      <c r="S21" s="34">
        <v>0</v>
      </c>
      <c r="T21" s="34">
        <v>0</v>
      </c>
      <c r="U21" s="35">
        <v>1</v>
      </c>
      <c r="V21" s="34">
        <v>0</v>
      </c>
      <c r="W21" s="34">
        <v>0</v>
      </c>
      <c r="X21" s="33"/>
      <c r="Y21" s="35">
        <v>1</v>
      </c>
      <c r="Z21" s="34">
        <v>0</v>
      </c>
      <c r="AA21" s="34">
        <v>0</v>
      </c>
      <c r="AB21" s="34">
        <v>0</v>
      </c>
      <c r="AC21" s="35">
        <v>1</v>
      </c>
      <c r="AD21" s="33"/>
      <c r="AE21" s="34">
        <v>0</v>
      </c>
      <c r="AF21" s="34">
        <v>0</v>
      </c>
      <c r="AG21" s="35">
        <v>1</v>
      </c>
      <c r="AH21" s="34">
        <v>0</v>
      </c>
      <c r="AI21" s="34">
        <v>0</v>
      </c>
    </row>
    <row r="22" spans="1:35" x14ac:dyDescent="0.4">
      <c r="A22" s="34">
        <v>0</v>
      </c>
      <c r="B22" s="35">
        <v>1</v>
      </c>
      <c r="C22" s="34">
        <v>0</v>
      </c>
      <c r="D22" s="35">
        <v>1</v>
      </c>
      <c r="E22" s="34">
        <v>0</v>
      </c>
      <c r="F22" s="33"/>
      <c r="G22" s="34">
        <v>0</v>
      </c>
      <c r="H22" s="35">
        <v>1</v>
      </c>
      <c r="I22" s="34">
        <v>0</v>
      </c>
      <c r="J22" s="35">
        <v>1</v>
      </c>
      <c r="K22" s="34">
        <v>0</v>
      </c>
      <c r="L22" s="33"/>
      <c r="M22" s="34">
        <v>0</v>
      </c>
      <c r="N22" s="35">
        <v>1</v>
      </c>
      <c r="O22" s="34">
        <v>0</v>
      </c>
      <c r="P22" s="35">
        <v>1</v>
      </c>
      <c r="Q22" s="34">
        <v>0</v>
      </c>
      <c r="R22" s="33"/>
      <c r="S22" s="34">
        <v>0</v>
      </c>
      <c r="T22" s="35">
        <v>1</v>
      </c>
      <c r="U22" s="34">
        <v>0</v>
      </c>
      <c r="V22" s="35">
        <v>1</v>
      </c>
      <c r="W22" s="34">
        <v>0</v>
      </c>
      <c r="X22" s="33"/>
      <c r="Y22" s="35">
        <v>1</v>
      </c>
      <c r="Z22" s="34">
        <v>0</v>
      </c>
      <c r="AA22" s="34">
        <v>0</v>
      </c>
      <c r="AB22" s="34">
        <v>0</v>
      </c>
      <c r="AC22" s="35">
        <v>1</v>
      </c>
      <c r="AD22" s="33"/>
      <c r="AE22" s="34">
        <v>0</v>
      </c>
      <c r="AF22" s="35">
        <v>1</v>
      </c>
      <c r="AG22" s="34">
        <v>0</v>
      </c>
      <c r="AH22" s="35">
        <v>1</v>
      </c>
      <c r="AI22" s="34">
        <v>0</v>
      </c>
    </row>
    <row r="23" spans="1:35" x14ac:dyDescent="0.4">
      <c r="A23" s="34">
        <v>0</v>
      </c>
      <c r="B23" s="34">
        <v>0</v>
      </c>
      <c r="C23" s="35">
        <v>1</v>
      </c>
      <c r="D23" s="34">
        <v>0</v>
      </c>
      <c r="E23" s="34">
        <v>0</v>
      </c>
      <c r="F23" s="33"/>
      <c r="G23" s="35">
        <v>1</v>
      </c>
      <c r="H23" s="34"/>
      <c r="I23" s="34">
        <v>0</v>
      </c>
      <c r="J23" s="34">
        <v>0</v>
      </c>
      <c r="K23" s="35">
        <v>1</v>
      </c>
      <c r="L23" s="33"/>
      <c r="M23" s="34">
        <v>0</v>
      </c>
      <c r="N23" s="34">
        <v>0</v>
      </c>
      <c r="O23" s="35">
        <v>1</v>
      </c>
      <c r="P23" s="34">
        <v>0</v>
      </c>
      <c r="Q23" s="34">
        <v>0</v>
      </c>
      <c r="R23" s="33"/>
      <c r="S23" s="34">
        <v>0</v>
      </c>
      <c r="T23" s="34">
        <v>0</v>
      </c>
      <c r="U23" s="34">
        <v>0</v>
      </c>
      <c r="V23" s="34">
        <v>0</v>
      </c>
      <c r="W23" s="34">
        <v>0</v>
      </c>
      <c r="X23" s="33"/>
      <c r="Y23" s="35">
        <v>1</v>
      </c>
      <c r="Z23" s="35">
        <v>1</v>
      </c>
      <c r="AA23" s="35">
        <v>1</v>
      </c>
      <c r="AB23" s="35">
        <v>1</v>
      </c>
      <c r="AC23" s="35">
        <v>1</v>
      </c>
      <c r="AD23" s="33"/>
      <c r="AE23" s="34">
        <v>0</v>
      </c>
      <c r="AF23" s="34">
        <v>0</v>
      </c>
      <c r="AG23" s="34">
        <v>0</v>
      </c>
      <c r="AH23" s="34">
        <v>0</v>
      </c>
      <c r="AI23" s="34">
        <v>0</v>
      </c>
    </row>
    <row r="24" spans="1:35" x14ac:dyDescent="0.4">
      <c r="A24" s="14"/>
      <c r="B24" s="14"/>
      <c r="C24" s="15"/>
      <c r="D24" s="14"/>
      <c r="E24" s="14"/>
    </row>
    <row r="25" spans="1:35" x14ac:dyDescent="0.4">
      <c r="A25" s="14"/>
      <c r="B25" s="14"/>
      <c r="C25" s="14"/>
      <c r="D25" s="14"/>
      <c r="E25" s="14"/>
    </row>
  </sheetData>
  <sheetProtection sheet="1" objects="1" scenarios="1"/>
  <mergeCells count="10">
    <mergeCell ref="Z5:AB5"/>
    <mergeCell ref="Z13:AB13"/>
    <mergeCell ref="Z12:AB12"/>
    <mergeCell ref="Z4:AB4"/>
    <mergeCell ref="AC6:AE6"/>
    <mergeCell ref="AC7:AE7"/>
    <mergeCell ref="AC8:AE8"/>
    <mergeCell ref="AC9:AE9"/>
    <mergeCell ref="AC10:AE10"/>
    <mergeCell ref="AC11:AE11"/>
  </mergeCells>
  <phoneticPr fontId="1"/>
  <conditionalFormatting sqref="K5:M7">
    <cfRule type="colorScale" priority="5">
      <colorScale>
        <cfvo type="min"/>
        <cfvo type="max"/>
        <color rgb="FFFCFCFF"/>
        <color rgb="FF0070C0"/>
      </colorScale>
    </cfRule>
  </conditionalFormatting>
  <conditionalFormatting sqref="K12:M14">
    <cfRule type="colorScale" priority="4">
      <colorScale>
        <cfvo type="min"/>
        <cfvo type="max"/>
        <color rgb="FFFCFCFF"/>
        <color rgb="FF63BE7B"/>
      </colorScale>
    </cfRule>
  </conditionalFormatting>
  <conditionalFormatting sqref="G5:I7">
    <cfRule type="colorScale" priority="3">
      <colorScale>
        <cfvo type="min"/>
        <cfvo type="max"/>
        <color rgb="FFFCFCFF"/>
        <color rgb="FF0070C0"/>
      </colorScale>
    </cfRule>
  </conditionalFormatting>
  <conditionalFormatting sqref="G12:I14">
    <cfRule type="colorScale" priority="2">
      <colorScale>
        <cfvo type="min"/>
        <cfvo type="max"/>
        <color rgb="FFFCFCFF"/>
        <color rgb="FF63BE7B"/>
      </colorScale>
    </cfRule>
  </conditionalFormatting>
  <conditionalFormatting sqref="A8:E12">
    <cfRule type="colorScale" priority="1">
      <colorScale>
        <cfvo type="min"/>
        <cfvo type="max"/>
        <color rgb="FFFCFCFF"/>
        <color theme="0" tint="-0.499984740745262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2">
          <controlPr defaultSize="0" autoLine="0" r:id="rId5">
            <anchor moveWithCells="1">
              <from>
                <xdr:col>5</xdr:col>
                <xdr:colOff>200025</xdr:colOff>
                <xdr:row>0</xdr:row>
                <xdr:rowOff>95250</xdr:rowOff>
              </from>
              <to>
                <xdr:col>9</xdr:col>
                <xdr:colOff>123825</xdr:colOff>
                <xdr:row>1</xdr:row>
                <xdr:rowOff>161925</xdr:rowOff>
              </to>
            </anchor>
          </controlPr>
        </control>
      </mc:Choice>
      <mc:Fallback>
        <control shapeId="4099" r:id="rId4" name="CommandButton2"/>
      </mc:Fallback>
    </mc:AlternateContent>
    <mc:AlternateContent xmlns:mc="http://schemas.openxmlformats.org/markup-compatibility/2006">
      <mc:Choice Requires="x14">
        <control shapeId="4098" r:id="rId6" name="CommandButton1">
          <controlPr defaultSize="0" autoLine="0" r:id="rId7">
            <anchor moveWithCells="1">
              <from>
                <xdr:col>28</xdr:col>
                <xdr:colOff>76200</xdr:colOff>
                <xdr:row>2</xdr:row>
                <xdr:rowOff>161925</xdr:rowOff>
              </from>
              <to>
                <xdr:col>32</xdr:col>
                <xdr:colOff>85725</xdr:colOff>
                <xdr:row>3</xdr:row>
                <xdr:rowOff>228600</xdr:rowOff>
              </to>
            </anchor>
          </controlPr>
        </control>
      </mc:Choice>
      <mc:Fallback>
        <control shapeId="4098" r:id="rId6" name="CommandButton1"/>
      </mc:Fallback>
    </mc:AlternateContent>
    <mc:AlternateContent xmlns:mc="http://schemas.openxmlformats.org/markup-compatibility/2006">
      <mc:Choice Requires="x14">
        <control shapeId="4097" r:id="rId8" name="SpinButton1">
          <controlPr defaultSize="0" autoLine="0" r:id="rId9">
            <anchor moveWithCells="1">
              <from>
                <xdr:col>5</xdr:col>
                <xdr:colOff>47625</xdr:colOff>
                <xdr:row>8</xdr:row>
                <xdr:rowOff>133350</xdr:rowOff>
              </from>
              <to>
                <xdr:col>6</xdr:col>
                <xdr:colOff>152400</xdr:colOff>
                <xdr:row>10</xdr:row>
                <xdr:rowOff>152400</xdr:rowOff>
              </to>
            </anchor>
          </controlPr>
        </control>
      </mc:Choice>
      <mc:Fallback>
        <control shapeId="4097" r:id="rId8" name="Spin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3F56C-835A-435C-8620-5B9045B5D053}">
  <sheetPr codeName="Sheet6"/>
  <dimension ref="A1:AI25"/>
  <sheetViews>
    <sheetView tabSelected="1" topLeftCell="A4" zoomScaleNormal="100" workbookViewId="0">
      <selection activeCell="AI19" sqref="A19:AI23"/>
    </sheetView>
  </sheetViews>
  <sheetFormatPr defaultRowHeight="18.75" x14ac:dyDescent="0.4"/>
  <cols>
    <col min="1" max="6" width="3.25" style="3" customWidth="1"/>
    <col min="7" max="9" width="3.25" style="4" customWidth="1"/>
    <col min="10" max="35" width="3.25" style="3" customWidth="1"/>
    <col min="36" max="16384" width="9" style="3"/>
  </cols>
  <sheetData>
    <row r="1" spans="1:34" x14ac:dyDescent="0.4">
      <c r="R1" s="3" t="s">
        <v>10</v>
      </c>
      <c r="AC1" s="3">
        <v>29</v>
      </c>
      <c r="AD1" s="3">
        <v>30</v>
      </c>
    </row>
    <row r="2" spans="1:34" x14ac:dyDescent="0.4">
      <c r="R2" s="5">
        <v>1</v>
      </c>
      <c r="S2" s="5">
        <v>0</v>
      </c>
      <c r="T2" s="5">
        <v>1</v>
      </c>
    </row>
    <row r="3" spans="1:34" x14ac:dyDescent="0.4">
      <c r="G3" s="6" t="s">
        <v>3</v>
      </c>
      <c r="H3" s="7"/>
      <c r="I3" s="7"/>
      <c r="K3" s="3" t="s">
        <v>6</v>
      </c>
      <c r="R3" s="5">
        <v>0</v>
      </c>
      <c r="S3" s="5">
        <v>0</v>
      </c>
      <c r="T3" s="5">
        <v>0</v>
      </c>
      <c r="V3" s="3" t="s">
        <v>26</v>
      </c>
      <c r="W3" s="33">
        <f>K5*R2+L5*S2+M5*T2+K6*R3+L6*S3+M6*T3+K7*R4+L7*S4+M7*T4</f>
        <v>7.6382149427023833</v>
      </c>
    </row>
    <row r="4" spans="1:34" ht="19.5" thickBot="1" x14ac:dyDescent="0.45">
      <c r="K4" s="3" t="s">
        <v>7</v>
      </c>
      <c r="R4" s="5">
        <v>1</v>
      </c>
      <c r="S4" s="5">
        <v>0</v>
      </c>
      <c r="T4" s="5">
        <v>1</v>
      </c>
      <c r="Z4" s="40" t="s">
        <v>4</v>
      </c>
      <c r="AA4" s="40"/>
      <c r="AB4" s="40"/>
    </row>
    <row r="5" spans="1:34" x14ac:dyDescent="0.4">
      <c r="G5" s="5">
        <v>1</v>
      </c>
      <c r="H5" s="5">
        <v>1</v>
      </c>
      <c r="I5" s="5">
        <v>1</v>
      </c>
      <c r="K5" s="16">
        <f t="shared" ref="K5:M7" si="0">A8*$G$5+B8*$H$5+C8*$I$5+A9*$G$6+B9*$H$6+C9*$I$6+A10*$G$7+B10*$H$7+C10*$I$7</f>
        <v>2.4095537356755958</v>
      </c>
      <c r="L5" s="17">
        <f t="shared" si="0"/>
        <v>3</v>
      </c>
      <c r="M5" s="18">
        <f t="shared" si="0"/>
        <v>2.4095537356755958</v>
      </c>
      <c r="R5" s="3" t="s">
        <v>10</v>
      </c>
      <c r="Y5" s="33">
        <f>K5*R2+L5*S2+M5*T2+K6*R3+L6*S3+M6*T3+K7*R4+L7*S4+M7*T4+K12*R6+L12*S6+M12*T6+K13*R7+L13*S7+M13*T7+K14*R8+L14*S8+M14*T8</f>
        <v>27.638214942702383</v>
      </c>
      <c r="Z5" s="41">
        <f>EXP(Y5)/(EXP($Y$5)+EXP($Y$13))</f>
        <v>5.407531997982834E-2</v>
      </c>
      <c r="AA5" s="41"/>
      <c r="AB5" s="41"/>
      <c r="AF5" s="3" t="s">
        <v>25</v>
      </c>
      <c r="AG5" s="3" t="s">
        <v>24</v>
      </c>
    </row>
    <row r="6" spans="1:34" x14ac:dyDescent="0.4">
      <c r="G6" s="5">
        <v>1</v>
      </c>
      <c r="H6" s="5">
        <v>0.40955373567559561</v>
      </c>
      <c r="I6" s="5">
        <v>1</v>
      </c>
      <c r="K6" s="19">
        <f t="shared" si="0"/>
        <v>3</v>
      </c>
      <c r="L6" s="20">
        <f t="shared" si="0"/>
        <v>4.4095537356755958</v>
      </c>
      <c r="M6" s="21">
        <f t="shared" si="0"/>
        <v>3</v>
      </c>
      <c r="R6" s="5">
        <v>1</v>
      </c>
      <c r="S6" s="5">
        <v>0</v>
      </c>
      <c r="T6" s="5">
        <v>3</v>
      </c>
      <c r="AC6" s="40" t="s">
        <v>1</v>
      </c>
      <c r="AD6" s="40"/>
      <c r="AE6" s="40"/>
      <c r="AF6" s="3">
        <v>0</v>
      </c>
      <c r="AG6" s="3">
        <v>0</v>
      </c>
      <c r="AH6" s="3" t="s">
        <v>19</v>
      </c>
    </row>
    <row r="7" spans="1:34" ht="19.5" thickBot="1" x14ac:dyDescent="0.45">
      <c r="A7" s="8" t="s">
        <v>0</v>
      </c>
      <c r="B7" s="6"/>
      <c r="C7" s="8"/>
      <c r="D7" s="8"/>
      <c r="E7" s="8">
        <v>5</v>
      </c>
      <c r="G7" s="5">
        <v>1</v>
      </c>
      <c r="H7" s="5">
        <v>1</v>
      </c>
      <c r="I7" s="5">
        <v>1</v>
      </c>
      <c r="K7" s="22">
        <f t="shared" si="0"/>
        <v>1.4095537356755956</v>
      </c>
      <c r="L7" s="23">
        <f t="shared" si="0"/>
        <v>3</v>
      </c>
      <c r="M7" s="24">
        <f t="shared" si="0"/>
        <v>1.4095537356755956</v>
      </c>
      <c r="R7" s="5">
        <v>0</v>
      </c>
      <c r="S7" s="5">
        <v>3</v>
      </c>
      <c r="T7" s="5">
        <v>0</v>
      </c>
      <c r="W7" s="33">
        <f>K12*R6+L12*S6+M12*T6+K13*R7+L13*S7+M13*T7+K14*R8+L14*S8+M14*T8</f>
        <v>20</v>
      </c>
      <c r="AC7" s="40" t="s">
        <v>2</v>
      </c>
      <c r="AD7" s="40"/>
      <c r="AE7" s="40"/>
      <c r="AF7" s="3">
        <v>1</v>
      </c>
      <c r="AG7" s="3">
        <v>1</v>
      </c>
      <c r="AH7" s="3" t="s">
        <v>19</v>
      </c>
    </row>
    <row r="8" spans="1:34" x14ac:dyDescent="0.4">
      <c r="A8" s="9">
        <v>1</v>
      </c>
      <c r="B8" s="9">
        <v>0</v>
      </c>
      <c r="C8" s="10">
        <v>0</v>
      </c>
      <c r="D8" s="9">
        <v>0</v>
      </c>
      <c r="E8" s="9">
        <v>1</v>
      </c>
      <c r="R8" s="5">
        <v>3</v>
      </c>
      <c r="S8" s="5">
        <v>0</v>
      </c>
      <c r="T8" s="5">
        <v>1</v>
      </c>
      <c r="AC8" s="40" t="s">
        <v>8</v>
      </c>
      <c r="AD8" s="40"/>
      <c r="AE8" s="40"/>
      <c r="AF8" s="3">
        <v>0</v>
      </c>
      <c r="AG8" s="3">
        <v>0</v>
      </c>
      <c r="AH8" s="3" t="s">
        <v>19</v>
      </c>
    </row>
    <row r="9" spans="1:34" x14ac:dyDescent="0.4">
      <c r="A9" s="9">
        <v>0</v>
      </c>
      <c r="B9" s="10">
        <v>1</v>
      </c>
      <c r="C9" s="9">
        <v>0</v>
      </c>
      <c r="D9" s="10">
        <v>1</v>
      </c>
      <c r="E9" s="9">
        <v>0</v>
      </c>
      <c r="G9" s="11"/>
      <c r="H9" s="11"/>
      <c r="I9" s="11"/>
      <c r="K9" s="12"/>
      <c r="L9" s="12"/>
      <c r="M9" s="12"/>
      <c r="R9" s="3" t="s">
        <v>11</v>
      </c>
      <c r="S9" s="12"/>
      <c r="T9" s="12"/>
      <c r="AC9" s="40" t="s">
        <v>9</v>
      </c>
      <c r="AD9" s="40"/>
      <c r="AE9" s="40"/>
      <c r="AF9" s="3">
        <v>1</v>
      </c>
      <c r="AG9" s="3">
        <v>1</v>
      </c>
      <c r="AH9" s="3" t="s">
        <v>19</v>
      </c>
    </row>
    <row r="10" spans="1:34" x14ac:dyDescent="0.4">
      <c r="A10" s="10">
        <v>0</v>
      </c>
      <c r="B10" s="9">
        <v>0</v>
      </c>
      <c r="C10" s="9">
        <v>1</v>
      </c>
      <c r="D10" s="9">
        <v>0</v>
      </c>
      <c r="E10" s="10">
        <v>0</v>
      </c>
      <c r="F10" s="13"/>
      <c r="G10" s="13"/>
      <c r="H10" s="13"/>
      <c r="I10" s="13"/>
      <c r="J10" s="13"/>
      <c r="K10" s="13"/>
      <c r="L10" s="13"/>
      <c r="M10" s="13"/>
      <c r="R10" s="5">
        <v>0</v>
      </c>
      <c r="S10" s="5">
        <v>0</v>
      </c>
      <c r="T10" s="5">
        <v>0</v>
      </c>
      <c r="AC10" s="40" t="s">
        <v>21</v>
      </c>
      <c r="AD10" s="40"/>
      <c r="AE10" s="40"/>
      <c r="AF10" s="3">
        <v>0</v>
      </c>
      <c r="AG10" s="3">
        <v>0</v>
      </c>
      <c r="AH10" s="3" t="s">
        <v>19</v>
      </c>
    </row>
    <row r="11" spans="1:34" ht="19.5" thickBot="1" x14ac:dyDescent="0.45">
      <c r="A11" s="9">
        <v>0</v>
      </c>
      <c r="B11" s="10">
        <v>1</v>
      </c>
      <c r="C11" s="9">
        <v>0</v>
      </c>
      <c r="D11" s="10">
        <v>1</v>
      </c>
      <c r="E11" s="9">
        <v>0</v>
      </c>
      <c r="F11" s="13"/>
      <c r="G11" s="13"/>
      <c r="H11" s="13"/>
      <c r="I11" s="13"/>
      <c r="J11" s="13"/>
      <c r="K11" s="13"/>
      <c r="L11" s="13"/>
      <c r="M11" s="13"/>
      <c r="R11" s="5">
        <v>1</v>
      </c>
      <c r="S11" s="5">
        <v>0</v>
      </c>
      <c r="T11" s="5">
        <v>0.5</v>
      </c>
      <c r="W11" s="33">
        <f>K5*R10+L5*S10+M5*T10+K6*R11+L6*S11+M6*T11+K7*R12+L7*S12+M7*T12</f>
        <v>4.5</v>
      </c>
      <c r="AC11" s="40" t="s">
        <v>23</v>
      </c>
      <c r="AD11" s="40"/>
      <c r="AE11" s="40"/>
      <c r="AF11" s="3">
        <v>1</v>
      </c>
      <c r="AG11" s="3">
        <v>1</v>
      </c>
      <c r="AH11" s="3" t="s">
        <v>19</v>
      </c>
    </row>
    <row r="12" spans="1:34" x14ac:dyDescent="0.4">
      <c r="A12" s="9">
        <v>0</v>
      </c>
      <c r="B12" s="9">
        <v>0</v>
      </c>
      <c r="C12" s="10">
        <v>0</v>
      </c>
      <c r="D12" s="9">
        <v>0</v>
      </c>
      <c r="E12" s="9">
        <v>0</v>
      </c>
      <c r="F12" s="13"/>
      <c r="G12" s="5">
        <v>1</v>
      </c>
      <c r="H12" s="5">
        <v>0</v>
      </c>
      <c r="I12" s="5">
        <v>0</v>
      </c>
      <c r="J12" s="13"/>
      <c r="K12" s="25">
        <f t="shared" ref="K12:M14" si="1">A8*$G$12+B8*$H$12+C8*$I$12+A9*$G$13+B9*$H$13+C9*$I$13+A10*$G$14+B10*$H$14+C10*$I$14</f>
        <v>3</v>
      </c>
      <c r="L12" s="26">
        <f t="shared" si="1"/>
        <v>0</v>
      </c>
      <c r="M12" s="27">
        <f t="shared" si="1"/>
        <v>1</v>
      </c>
      <c r="R12" s="5">
        <v>0</v>
      </c>
      <c r="S12" s="5">
        <v>0</v>
      </c>
      <c r="T12" s="5">
        <v>0</v>
      </c>
      <c r="Z12" s="40" t="s">
        <v>5</v>
      </c>
      <c r="AA12" s="40"/>
      <c r="AB12" s="40"/>
    </row>
    <row r="13" spans="1:34" x14ac:dyDescent="0.4">
      <c r="A13" s="13"/>
      <c r="B13" s="13"/>
      <c r="C13" s="13"/>
      <c r="D13" s="13"/>
      <c r="E13" s="13"/>
      <c r="F13" s="13"/>
      <c r="G13" s="5">
        <v>0</v>
      </c>
      <c r="H13" s="5">
        <v>1</v>
      </c>
      <c r="I13" s="5">
        <v>0</v>
      </c>
      <c r="J13" s="13"/>
      <c r="K13" s="28">
        <f t="shared" si="1"/>
        <v>0</v>
      </c>
      <c r="L13" s="20">
        <f t="shared" si="1"/>
        <v>3</v>
      </c>
      <c r="M13" s="29">
        <f t="shared" si="1"/>
        <v>0</v>
      </c>
      <c r="R13" s="3" t="s">
        <v>11</v>
      </c>
      <c r="Y13" s="33">
        <f>K5*R10+L5*S10+M5*T10+K6*R11+L6*S11+M6*T11+K7*R12+L7*S12+M7*T12+K12*R14+L12*S14+M12*T14+K13*R15+L13*S15+M13*T15+K14*R16+L14*S16+M14*T16</f>
        <v>30.5</v>
      </c>
      <c r="Z13" s="41">
        <f>EXP(Y13)/(EXP($Y$5)+EXP($Y$13))</f>
        <v>0.94592468002017172</v>
      </c>
      <c r="AA13" s="41"/>
      <c r="AB13" s="41"/>
    </row>
    <row r="14" spans="1:34" ht="19.5" thickBot="1" x14ac:dyDescent="0.45">
      <c r="A14" s="13"/>
      <c r="B14" s="13"/>
      <c r="C14" s="13"/>
      <c r="D14" s="13"/>
      <c r="E14" s="13"/>
      <c r="F14" s="13"/>
      <c r="G14" s="5">
        <v>0</v>
      </c>
      <c r="H14" s="5">
        <v>0</v>
      </c>
      <c r="I14" s="5">
        <v>1</v>
      </c>
      <c r="J14" s="13"/>
      <c r="K14" s="30">
        <f t="shared" si="1"/>
        <v>1</v>
      </c>
      <c r="L14" s="31">
        <f t="shared" si="1"/>
        <v>0</v>
      </c>
      <c r="M14" s="32">
        <f t="shared" si="1"/>
        <v>2</v>
      </c>
      <c r="R14" s="5">
        <v>3</v>
      </c>
      <c r="S14" s="5">
        <v>0</v>
      </c>
      <c r="T14" s="5">
        <v>1</v>
      </c>
    </row>
    <row r="15" spans="1:34" x14ac:dyDescent="0.4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R15" s="5">
        <v>0</v>
      </c>
      <c r="S15" s="5">
        <v>3</v>
      </c>
      <c r="T15" s="5">
        <v>0</v>
      </c>
      <c r="W15" s="33">
        <f>K12*R14+L12*S14+M12*T14+K13*R15+L13*S15+M13*T15+K14*R16+L14*S16+M14*T16</f>
        <v>26</v>
      </c>
    </row>
    <row r="16" spans="1:34" x14ac:dyDescent="0.4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R16" s="5">
        <v>1</v>
      </c>
      <c r="S16" s="5">
        <v>0</v>
      </c>
      <c r="T16" s="5">
        <v>3</v>
      </c>
    </row>
    <row r="17" spans="1:35" x14ac:dyDescent="0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35" x14ac:dyDescent="0.4">
      <c r="B18" s="3" t="s">
        <v>1</v>
      </c>
      <c r="F18" s="13"/>
      <c r="G18" s="3"/>
      <c r="H18" s="3" t="s">
        <v>2</v>
      </c>
      <c r="I18" s="3"/>
      <c r="L18" s="13"/>
      <c r="N18" s="3" t="s">
        <v>8</v>
      </c>
      <c r="T18" s="3" t="s">
        <v>9</v>
      </c>
      <c r="Z18" s="3" t="s">
        <v>21</v>
      </c>
      <c r="AF18" s="3" t="s">
        <v>2</v>
      </c>
    </row>
    <row r="19" spans="1:35" x14ac:dyDescent="0.4">
      <c r="A19" s="34">
        <v>0</v>
      </c>
      <c r="B19" s="34">
        <v>0</v>
      </c>
      <c r="C19" s="35">
        <v>1</v>
      </c>
      <c r="D19" s="34">
        <v>0</v>
      </c>
      <c r="E19" s="34">
        <v>0</v>
      </c>
      <c r="F19" s="36"/>
      <c r="G19" s="35">
        <v>1</v>
      </c>
      <c r="H19" s="34">
        <v>0</v>
      </c>
      <c r="I19" s="34">
        <v>0</v>
      </c>
      <c r="J19" s="34">
        <v>0</v>
      </c>
      <c r="K19" s="35">
        <v>1</v>
      </c>
      <c r="L19" s="36"/>
      <c r="M19" s="34">
        <v>0</v>
      </c>
      <c r="N19" s="34">
        <v>0</v>
      </c>
      <c r="O19" s="35">
        <v>1</v>
      </c>
      <c r="P19" s="34">
        <v>0</v>
      </c>
      <c r="Q19" s="34">
        <v>0</v>
      </c>
      <c r="R19" s="33"/>
      <c r="S19" s="34">
        <v>0</v>
      </c>
      <c r="T19" s="34">
        <v>0</v>
      </c>
      <c r="U19" s="34">
        <v>0</v>
      </c>
      <c r="V19" s="34">
        <v>0</v>
      </c>
      <c r="W19" s="34">
        <v>0</v>
      </c>
      <c r="X19" s="33"/>
      <c r="Y19" s="35">
        <v>1</v>
      </c>
      <c r="Z19" s="35">
        <v>1</v>
      </c>
      <c r="AA19" s="35">
        <v>1</v>
      </c>
      <c r="AB19" s="35">
        <v>1</v>
      </c>
      <c r="AC19" s="35">
        <v>1</v>
      </c>
      <c r="AD19" s="33"/>
      <c r="AE19" s="35">
        <v>1</v>
      </c>
      <c r="AF19" s="34">
        <v>0</v>
      </c>
      <c r="AG19" s="34">
        <v>0</v>
      </c>
      <c r="AH19" s="34">
        <v>0</v>
      </c>
      <c r="AI19" s="35">
        <v>1</v>
      </c>
    </row>
    <row r="20" spans="1:35" x14ac:dyDescent="0.4">
      <c r="A20" s="34">
        <v>0</v>
      </c>
      <c r="B20" s="35">
        <v>1</v>
      </c>
      <c r="C20" s="34">
        <v>0</v>
      </c>
      <c r="D20" s="35">
        <v>1</v>
      </c>
      <c r="E20" s="34">
        <v>0</v>
      </c>
      <c r="F20" s="36"/>
      <c r="G20" s="34">
        <v>0</v>
      </c>
      <c r="H20" s="35">
        <v>1</v>
      </c>
      <c r="I20" s="34">
        <v>0</v>
      </c>
      <c r="J20" s="35">
        <v>1</v>
      </c>
      <c r="K20" s="34">
        <v>0</v>
      </c>
      <c r="L20" s="36"/>
      <c r="M20" s="34">
        <v>0</v>
      </c>
      <c r="N20" s="35">
        <v>1</v>
      </c>
      <c r="O20" s="34">
        <v>0</v>
      </c>
      <c r="P20" s="35">
        <v>1</v>
      </c>
      <c r="Q20" s="34">
        <v>0</v>
      </c>
      <c r="R20" s="33"/>
      <c r="S20" s="34">
        <v>0</v>
      </c>
      <c r="T20" s="35">
        <v>1</v>
      </c>
      <c r="U20" s="34">
        <v>0</v>
      </c>
      <c r="V20" s="35">
        <v>1</v>
      </c>
      <c r="W20" s="34">
        <v>0</v>
      </c>
      <c r="X20" s="33"/>
      <c r="Y20" s="35">
        <v>1</v>
      </c>
      <c r="Z20" s="34">
        <v>0</v>
      </c>
      <c r="AA20" s="34">
        <v>0</v>
      </c>
      <c r="AB20" s="34">
        <v>0</v>
      </c>
      <c r="AC20" s="35">
        <v>1</v>
      </c>
      <c r="AD20" s="33"/>
      <c r="AE20" s="34">
        <v>0</v>
      </c>
      <c r="AF20" s="35">
        <v>1</v>
      </c>
      <c r="AG20" s="34">
        <v>0</v>
      </c>
      <c r="AH20" s="35">
        <v>1</v>
      </c>
      <c r="AI20" s="34">
        <v>0</v>
      </c>
    </row>
    <row r="21" spans="1:35" x14ac:dyDescent="0.4">
      <c r="A21" s="35">
        <v>1</v>
      </c>
      <c r="B21" s="34">
        <v>0</v>
      </c>
      <c r="C21" s="34">
        <v>0</v>
      </c>
      <c r="D21" s="34">
        <v>0</v>
      </c>
      <c r="E21" s="35">
        <v>1</v>
      </c>
      <c r="F21" s="33"/>
      <c r="G21" s="34">
        <v>0</v>
      </c>
      <c r="H21" s="34">
        <v>0</v>
      </c>
      <c r="I21" s="35">
        <v>1</v>
      </c>
      <c r="J21" s="34">
        <v>0</v>
      </c>
      <c r="K21" s="34">
        <v>0</v>
      </c>
      <c r="L21" s="33"/>
      <c r="M21" s="37">
        <v>0</v>
      </c>
      <c r="N21" s="35">
        <v>1</v>
      </c>
      <c r="O21" s="34">
        <v>0</v>
      </c>
      <c r="P21" s="35">
        <v>1</v>
      </c>
      <c r="Q21" s="38">
        <v>0</v>
      </c>
      <c r="R21" s="33"/>
      <c r="S21" s="34">
        <v>0</v>
      </c>
      <c r="T21" s="34">
        <v>0</v>
      </c>
      <c r="U21" s="35">
        <v>1</v>
      </c>
      <c r="V21" s="34">
        <v>0</v>
      </c>
      <c r="W21" s="34">
        <v>0</v>
      </c>
      <c r="X21" s="33"/>
      <c r="Y21" s="35">
        <v>1</v>
      </c>
      <c r="Z21" s="34">
        <v>0</v>
      </c>
      <c r="AA21" s="34">
        <v>0</v>
      </c>
      <c r="AB21" s="34">
        <v>0</v>
      </c>
      <c r="AC21" s="35">
        <v>1</v>
      </c>
      <c r="AD21" s="33"/>
      <c r="AE21" s="34">
        <v>0</v>
      </c>
      <c r="AF21" s="34">
        <v>0</v>
      </c>
      <c r="AG21" s="35">
        <v>1</v>
      </c>
      <c r="AH21" s="34">
        <v>0</v>
      </c>
      <c r="AI21" s="34">
        <v>0</v>
      </c>
    </row>
    <row r="22" spans="1:35" x14ac:dyDescent="0.4">
      <c r="A22" s="34">
        <v>0</v>
      </c>
      <c r="B22" s="35">
        <v>1</v>
      </c>
      <c r="C22" s="34">
        <v>0</v>
      </c>
      <c r="D22" s="35">
        <v>1</v>
      </c>
      <c r="E22" s="34">
        <v>0</v>
      </c>
      <c r="F22" s="33"/>
      <c r="G22" s="34">
        <v>0</v>
      </c>
      <c r="H22" s="35">
        <v>1</v>
      </c>
      <c r="I22" s="34">
        <v>0</v>
      </c>
      <c r="J22" s="35">
        <v>1</v>
      </c>
      <c r="K22" s="34">
        <v>0</v>
      </c>
      <c r="L22" s="33"/>
      <c r="M22" s="34">
        <v>0</v>
      </c>
      <c r="N22" s="35">
        <v>1</v>
      </c>
      <c r="O22" s="34">
        <v>0</v>
      </c>
      <c r="P22" s="35">
        <v>1</v>
      </c>
      <c r="Q22" s="34">
        <v>0</v>
      </c>
      <c r="R22" s="33"/>
      <c r="S22" s="34">
        <v>0</v>
      </c>
      <c r="T22" s="35">
        <v>1</v>
      </c>
      <c r="U22" s="34">
        <v>0</v>
      </c>
      <c r="V22" s="35">
        <v>1</v>
      </c>
      <c r="W22" s="34">
        <v>0</v>
      </c>
      <c r="X22" s="33"/>
      <c r="Y22" s="35">
        <v>1</v>
      </c>
      <c r="Z22" s="34">
        <v>0</v>
      </c>
      <c r="AA22" s="34">
        <v>0</v>
      </c>
      <c r="AB22" s="34">
        <v>0</v>
      </c>
      <c r="AC22" s="35">
        <v>1</v>
      </c>
      <c r="AD22" s="33"/>
      <c r="AE22" s="34">
        <v>0</v>
      </c>
      <c r="AF22" s="35">
        <v>1</v>
      </c>
      <c r="AG22" s="34">
        <v>0</v>
      </c>
      <c r="AH22" s="35">
        <v>1</v>
      </c>
      <c r="AI22" s="34">
        <v>0</v>
      </c>
    </row>
    <row r="23" spans="1:35" x14ac:dyDescent="0.4">
      <c r="A23" s="34">
        <v>0</v>
      </c>
      <c r="B23" s="34">
        <v>0</v>
      </c>
      <c r="C23" s="35">
        <v>1</v>
      </c>
      <c r="D23" s="34">
        <v>0</v>
      </c>
      <c r="E23" s="34">
        <v>0</v>
      </c>
      <c r="F23" s="33"/>
      <c r="G23" s="35">
        <v>1</v>
      </c>
      <c r="H23" s="34"/>
      <c r="I23" s="34">
        <v>0</v>
      </c>
      <c r="J23" s="34">
        <v>0</v>
      </c>
      <c r="K23" s="35">
        <v>1</v>
      </c>
      <c r="L23" s="33"/>
      <c r="M23" s="34">
        <v>0</v>
      </c>
      <c r="N23" s="34">
        <v>0</v>
      </c>
      <c r="O23" s="35">
        <v>1</v>
      </c>
      <c r="P23" s="34">
        <v>0</v>
      </c>
      <c r="Q23" s="34">
        <v>0</v>
      </c>
      <c r="R23" s="33"/>
      <c r="S23" s="34">
        <v>0</v>
      </c>
      <c r="T23" s="34">
        <v>0</v>
      </c>
      <c r="U23" s="34">
        <v>0</v>
      </c>
      <c r="V23" s="34">
        <v>0</v>
      </c>
      <c r="W23" s="34">
        <v>0</v>
      </c>
      <c r="X23" s="33"/>
      <c r="Y23" s="35">
        <v>1</v>
      </c>
      <c r="Z23" s="35">
        <v>1</v>
      </c>
      <c r="AA23" s="35">
        <v>1</v>
      </c>
      <c r="AB23" s="35">
        <v>1</v>
      </c>
      <c r="AC23" s="35">
        <v>1</v>
      </c>
      <c r="AD23" s="33"/>
      <c r="AE23" s="34">
        <v>0</v>
      </c>
      <c r="AF23" s="34">
        <v>0</v>
      </c>
      <c r="AG23" s="34">
        <v>0</v>
      </c>
      <c r="AH23" s="34">
        <v>0</v>
      </c>
      <c r="AI23" s="34">
        <v>0</v>
      </c>
    </row>
    <row r="24" spans="1:35" x14ac:dyDescent="0.4">
      <c r="A24" s="14"/>
      <c r="B24" s="14"/>
      <c r="C24" s="15"/>
      <c r="D24" s="14"/>
      <c r="E24" s="14"/>
    </row>
    <row r="25" spans="1:35" x14ac:dyDescent="0.4">
      <c r="A25" s="14"/>
      <c r="B25" s="14"/>
      <c r="C25" s="14"/>
      <c r="D25" s="14"/>
      <c r="E25" s="14"/>
    </row>
  </sheetData>
  <sheetProtection sheet="1" objects="1" scenarios="1"/>
  <mergeCells count="10">
    <mergeCell ref="AC10:AE10"/>
    <mergeCell ref="AC11:AE11"/>
    <mergeCell ref="Z12:AB12"/>
    <mergeCell ref="Z13:AB13"/>
    <mergeCell ref="Z4:AB4"/>
    <mergeCell ref="Z5:AB5"/>
    <mergeCell ref="AC6:AE6"/>
    <mergeCell ref="AC7:AE7"/>
    <mergeCell ref="AC8:AE8"/>
    <mergeCell ref="AC9:AE9"/>
  </mergeCells>
  <phoneticPr fontId="1"/>
  <conditionalFormatting sqref="K5:M7">
    <cfRule type="colorScale" priority="5">
      <colorScale>
        <cfvo type="min"/>
        <cfvo type="max"/>
        <color rgb="FFFCFCFF"/>
        <color rgb="FF0070C0"/>
      </colorScale>
    </cfRule>
  </conditionalFormatting>
  <conditionalFormatting sqref="K12:M14">
    <cfRule type="colorScale" priority="4">
      <colorScale>
        <cfvo type="min"/>
        <cfvo type="max"/>
        <color rgb="FFFCFCFF"/>
        <color rgb="FF63BE7B"/>
      </colorScale>
    </cfRule>
  </conditionalFormatting>
  <conditionalFormatting sqref="G5:I7">
    <cfRule type="colorScale" priority="3">
      <colorScale>
        <cfvo type="min"/>
        <cfvo type="max"/>
        <color rgb="FFFCFCFF"/>
        <color rgb="FF0070C0"/>
      </colorScale>
    </cfRule>
  </conditionalFormatting>
  <conditionalFormatting sqref="G12:I14">
    <cfRule type="colorScale" priority="2">
      <colorScale>
        <cfvo type="min"/>
        <cfvo type="max"/>
        <color rgb="FFFCFCFF"/>
        <color rgb="FF63BE7B"/>
      </colorScale>
    </cfRule>
  </conditionalFormatting>
  <conditionalFormatting sqref="A8:E12">
    <cfRule type="colorScale" priority="1">
      <colorScale>
        <cfvo type="min"/>
        <cfvo type="max"/>
        <color rgb="FFFCFCFF"/>
        <color theme="0" tint="-0.499984740745262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pinButton1">
          <controlPr defaultSize="0" autoLine="0" r:id="rId5">
            <anchor moveWithCells="1">
              <from>
                <xdr:col>5</xdr:col>
                <xdr:colOff>47625</xdr:colOff>
                <xdr:row>8</xdr:row>
                <xdr:rowOff>133350</xdr:rowOff>
              </from>
              <to>
                <xdr:col>6</xdr:col>
                <xdr:colOff>152400</xdr:colOff>
                <xdr:row>10</xdr:row>
                <xdr:rowOff>152400</xdr:rowOff>
              </to>
            </anchor>
          </controlPr>
        </control>
      </mc:Choice>
      <mc:Fallback>
        <control shapeId="8193" r:id="rId4" name="SpinButton1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28</xdr:col>
                <xdr:colOff>76200</xdr:colOff>
                <xdr:row>2</xdr:row>
                <xdr:rowOff>161925</xdr:rowOff>
              </from>
              <to>
                <xdr:col>32</xdr:col>
                <xdr:colOff>85725</xdr:colOff>
                <xdr:row>3</xdr:row>
                <xdr:rowOff>228600</xdr:rowOff>
              </to>
            </anchor>
          </controlPr>
        </control>
      </mc:Choice>
      <mc:Fallback>
        <control shapeId="8194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フィルター</vt:lpstr>
      <vt:lpstr>人力ディープラーニング</vt:lpstr>
      <vt:lpstr>解答チェック</vt:lpstr>
      <vt:lpstr>解答例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Horie, Yuki (堀江 裕樹)</dc:creator>
  <cp:lastModifiedBy>Horie, Yuki (堀江 裕樹)</cp:lastModifiedBy>
  <dcterms:created xsi:type="dcterms:W3CDTF">2019-06-03T06:12:04Z</dcterms:created>
  <dcterms:modified xsi:type="dcterms:W3CDTF">2019-06-19T08:25:23Z</dcterms:modified>
</cp:coreProperties>
</file>